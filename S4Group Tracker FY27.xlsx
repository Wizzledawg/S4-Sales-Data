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forbes/Library/Mobile Documents/com~apple~CloudDocs/"/>
    </mc:Choice>
  </mc:AlternateContent>
  <xr:revisionPtr revIDLastSave="0" documentId="8_{88A52D8D-A533-DE44-9DC7-BEC541108119}" xr6:coauthVersionLast="47" xr6:coauthVersionMax="47" xr10:uidLastSave="{00000000-0000-0000-0000-000000000000}"/>
  <bookViews>
    <workbookView xWindow="29400" yWindow="-2480" windowWidth="38400" windowHeight="21600" xr2:uid="{70D7DBDE-E60C-D745-BCF5-1901ED37275D}"/>
  </bookViews>
  <sheets>
    <sheet name="Consultant NFI League" sheetId="4" r:id="rId1"/>
    <sheet name="Consultant NBV League" sheetId="5" r:id="rId2"/>
    <sheet name="Perm NFI data" sheetId="3" r:id="rId3"/>
    <sheet name="S4 Cloud Contractor Data" sheetId="1" r:id="rId4"/>
    <sheet name="Contract Commission Bands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0" i="1" l="1"/>
  <c r="S90" i="1"/>
  <c r="U90" i="1"/>
  <c r="O91" i="1"/>
  <c r="S91" i="1"/>
  <c r="U91" i="1"/>
  <c r="O74" i="1"/>
  <c r="S74" i="1"/>
  <c r="U74" i="1"/>
  <c r="O75" i="1"/>
  <c r="S75" i="1"/>
  <c r="U75" i="1"/>
  <c r="O58" i="1"/>
  <c r="S58" i="1"/>
  <c r="U58" i="1"/>
  <c r="O96" i="1"/>
  <c r="S96" i="1"/>
  <c r="U96" i="1"/>
  <c r="O97" i="1"/>
  <c r="S97" i="1"/>
  <c r="U97" i="1"/>
  <c r="E97" i="1"/>
  <c r="D97" i="1"/>
  <c r="C97" i="1"/>
  <c r="E96" i="1"/>
  <c r="D96" i="1"/>
  <c r="C96" i="1"/>
  <c r="O80" i="1"/>
  <c r="S80" i="1"/>
  <c r="U80" i="1"/>
  <c r="O81" i="1"/>
  <c r="S81" i="1"/>
  <c r="U81" i="1"/>
  <c r="E81" i="1"/>
  <c r="D81" i="1"/>
  <c r="C81" i="1"/>
  <c r="E80" i="1"/>
  <c r="D80" i="1"/>
  <c r="C80" i="1"/>
  <c r="O64" i="1"/>
  <c r="S64" i="1"/>
  <c r="U64" i="1"/>
  <c r="O65" i="1"/>
  <c r="S65" i="1"/>
  <c r="U65" i="1"/>
  <c r="D64" i="1"/>
  <c r="E64" i="1"/>
  <c r="D65" i="1"/>
  <c r="E65" i="1"/>
  <c r="C65" i="1"/>
  <c r="C64" i="1"/>
  <c r="J18" i="4"/>
  <c r="J19" i="4"/>
  <c r="J20" i="4"/>
  <c r="I32" i="4"/>
  <c r="I34" i="4"/>
  <c r="P35" i="4"/>
  <c r="Q35" i="4"/>
  <c r="H35" i="4"/>
  <c r="AB35" i="4" s="1"/>
  <c r="G35" i="4"/>
  <c r="AA35" i="4" s="1"/>
  <c r="F35" i="4"/>
  <c r="Z35" i="4" s="1"/>
  <c r="E35" i="4"/>
  <c r="Y35" i="4" s="1"/>
  <c r="J10" i="4"/>
  <c r="J11" i="4"/>
  <c r="J17" i="4"/>
  <c r="H5" i="4"/>
  <c r="J5" i="4" s="1"/>
  <c r="H9" i="4"/>
  <c r="J9" i="4" s="1"/>
  <c r="H10" i="4"/>
  <c r="H11" i="4"/>
  <c r="H13" i="4"/>
  <c r="J13" i="4" s="1"/>
  <c r="H14" i="4"/>
  <c r="J14" i="4" s="1"/>
  <c r="H15" i="4"/>
  <c r="J15" i="4" s="1"/>
  <c r="H16" i="4"/>
  <c r="J16" i="4" s="1"/>
  <c r="H17" i="4"/>
  <c r="H18" i="4"/>
  <c r="H19" i="4"/>
  <c r="H20" i="4"/>
  <c r="E7" i="4"/>
  <c r="H7" i="4" s="1"/>
  <c r="J7" i="4" s="1"/>
  <c r="E6" i="4"/>
  <c r="H6" i="4" s="1"/>
  <c r="J6" i="4" s="1"/>
  <c r="R35" i="4" l="1"/>
  <c r="O35" i="4"/>
  <c r="F7" i="6"/>
  <c r="F8" i="6"/>
  <c r="E5" i="6"/>
  <c r="AW42" i="1"/>
  <c r="AV42" i="1"/>
  <c r="AU42" i="1"/>
  <c r="AS42" i="1"/>
  <c r="AR42" i="1"/>
  <c r="AQ42" i="1"/>
  <c r="AP42" i="1"/>
  <c r="AN42" i="1"/>
  <c r="AM42" i="1"/>
  <c r="AL42" i="1"/>
  <c r="AJ42" i="1"/>
  <c r="AI42" i="1"/>
  <c r="AH42" i="1"/>
  <c r="AG42" i="1"/>
  <c r="Y42" i="1"/>
  <c r="Z42" i="1"/>
  <c r="AA42" i="1"/>
  <c r="AC42" i="1"/>
  <c r="AD42" i="1"/>
  <c r="AE42" i="1"/>
  <c r="X42" i="1"/>
  <c r="F63" i="1"/>
  <c r="G63" i="1"/>
  <c r="H63" i="1"/>
  <c r="I63" i="1"/>
  <c r="J63" i="1"/>
  <c r="K63" i="1"/>
  <c r="L63" i="1"/>
  <c r="M63" i="1"/>
  <c r="N63" i="1"/>
  <c r="O78" i="1"/>
  <c r="S78" i="1"/>
  <c r="U78" i="1"/>
  <c r="F79" i="1"/>
  <c r="G79" i="1"/>
  <c r="H79" i="1"/>
  <c r="I79" i="1"/>
  <c r="J79" i="1"/>
  <c r="K79" i="1"/>
  <c r="L79" i="1"/>
  <c r="M79" i="1"/>
  <c r="N79" i="1"/>
  <c r="O94" i="1"/>
  <c r="S94" i="1"/>
  <c r="U94" i="1"/>
  <c r="F95" i="1"/>
  <c r="G95" i="1"/>
  <c r="H95" i="1"/>
  <c r="I95" i="1"/>
  <c r="J95" i="1"/>
  <c r="K95" i="1"/>
  <c r="L95" i="1"/>
  <c r="M95" i="1"/>
  <c r="N95" i="1"/>
  <c r="T16" i="1"/>
  <c r="T17" i="1"/>
  <c r="S13" i="1"/>
  <c r="S14" i="1"/>
  <c r="S17" i="1"/>
  <c r="S18" i="1"/>
  <c r="S19" i="1"/>
  <c r="S20" i="1"/>
  <c r="S21" i="1"/>
  <c r="E87" i="1" l="1"/>
  <c r="E90" i="1"/>
  <c r="G12" i="4" s="1"/>
  <c r="E91" i="1"/>
  <c r="G8" i="4" s="1"/>
  <c r="D87" i="1"/>
  <c r="D90" i="1"/>
  <c r="F12" i="4" s="1"/>
  <c r="D91" i="1"/>
  <c r="F8" i="4" s="1"/>
  <c r="A42" i="1"/>
  <c r="C84" i="1" s="1"/>
  <c r="C87" i="1"/>
  <c r="C90" i="1"/>
  <c r="E12" i="4" s="1"/>
  <c r="C91" i="1"/>
  <c r="E8" i="4" s="1"/>
  <c r="U21" i="1"/>
  <c r="T21" i="1" s="1"/>
  <c r="U20" i="1"/>
  <c r="T20" i="1" s="1"/>
  <c r="U19" i="1"/>
  <c r="T19" i="1" s="1"/>
  <c r="H8" i="4" l="1"/>
  <c r="H12" i="4"/>
  <c r="J12" i="4" s="1"/>
  <c r="E75" i="1"/>
  <c r="E58" i="1"/>
  <c r="C74" i="1"/>
  <c r="C57" i="1"/>
  <c r="D74" i="1"/>
  <c r="D57" i="1"/>
  <c r="C75" i="1"/>
  <c r="C58" i="1"/>
  <c r="O87" i="1"/>
  <c r="C54" i="1"/>
  <c r="C71" i="1"/>
  <c r="S87" i="1"/>
  <c r="U87" i="1"/>
  <c r="D58" i="1"/>
  <c r="D75" i="1"/>
  <c r="D71" i="1"/>
  <c r="D54" i="1"/>
  <c r="E57" i="1"/>
  <c r="E74" i="1"/>
  <c r="E71" i="1"/>
  <c r="E54" i="1"/>
  <c r="C51" i="1"/>
  <c r="C68" i="1"/>
  <c r="U18" i="1"/>
  <c r="T18" i="1" s="1"/>
  <c r="I34" i="5"/>
  <c r="AC34" i="5" s="1"/>
  <c r="I33" i="5"/>
  <c r="S33" i="5" s="1"/>
  <c r="H33" i="5"/>
  <c r="AB33" i="5" s="1"/>
  <c r="G33" i="5"/>
  <c r="AA33" i="5" s="1"/>
  <c r="F33" i="5"/>
  <c r="Z33" i="5" s="1"/>
  <c r="E33" i="5"/>
  <c r="Y33" i="5" s="1"/>
  <c r="I32" i="5"/>
  <c r="AC32" i="5" s="1"/>
  <c r="E32" i="5"/>
  <c r="Y32" i="5" s="1"/>
  <c r="AC31" i="5"/>
  <c r="AB31" i="5"/>
  <c r="S31" i="5"/>
  <c r="R31" i="5"/>
  <c r="AC30" i="5"/>
  <c r="AB30" i="5"/>
  <c r="S30" i="5"/>
  <c r="R30" i="5"/>
  <c r="AC29" i="5"/>
  <c r="AB29" i="5"/>
  <c r="S29" i="5"/>
  <c r="R29" i="5"/>
  <c r="AC28" i="5"/>
  <c r="AB28" i="5"/>
  <c r="S28" i="5"/>
  <c r="R28" i="5"/>
  <c r="AC27" i="5"/>
  <c r="Y27" i="5"/>
  <c r="S27" i="5"/>
  <c r="O27" i="5"/>
  <c r="AA27" i="5"/>
  <c r="P27" i="5"/>
  <c r="AC26" i="5"/>
  <c r="Z26" i="5"/>
  <c r="Y26" i="5"/>
  <c r="S26" i="5"/>
  <c r="P26" i="5"/>
  <c r="Q26" i="5"/>
  <c r="O26" i="5"/>
  <c r="AC25" i="5"/>
  <c r="AA25" i="5"/>
  <c r="Z25" i="5"/>
  <c r="Y25" i="5"/>
  <c r="S25" i="5"/>
  <c r="Q25" i="5"/>
  <c r="O25" i="5"/>
  <c r="H25" i="5"/>
  <c r="R25" i="5" s="1"/>
  <c r="P25" i="5"/>
  <c r="AC24" i="5"/>
  <c r="AA24" i="5"/>
  <c r="Z24" i="5"/>
  <c r="S24" i="5"/>
  <c r="P24" i="5"/>
  <c r="O24" i="5"/>
  <c r="Q24" i="5"/>
  <c r="Y24" i="5"/>
  <c r="AC23" i="5"/>
  <c r="AA23" i="5"/>
  <c r="Y23" i="5"/>
  <c r="S23" i="5"/>
  <c r="Q23" i="5"/>
  <c r="P23" i="5"/>
  <c r="O23" i="5"/>
  <c r="H23" i="5"/>
  <c r="R23" i="5" s="1"/>
  <c r="Z23" i="5"/>
  <c r="AC22" i="5"/>
  <c r="AA22" i="5"/>
  <c r="Y22" i="5"/>
  <c r="S22" i="5"/>
  <c r="Q22" i="5"/>
  <c r="P22" i="5"/>
  <c r="O22" i="5"/>
  <c r="H22" i="5"/>
  <c r="R22" i="5" s="1"/>
  <c r="Z22" i="5"/>
  <c r="AC21" i="5"/>
  <c r="AA21" i="5"/>
  <c r="Z21" i="5"/>
  <c r="S21" i="5"/>
  <c r="P21" i="5"/>
  <c r="O21" i="5"/>
  <c r="Q21" i="5"/>
  <c r="F34" i="5"/>
  <c r="E34" i="5"/>
  <c r="AC20" i="5"/>
  <c r="AB20" i="5"/>
  <c r="AA20" i="5"/>
  <c r="Z20" i="5"/>
  <c r="Y20" i="5"/>
  <c r="S20" i="5"/>
  <c r="R20" i="5"/>
  <c r="Q20" i="5"/>
  <c r="P20" i="5"/>
  <c r="O20" i="5"/>
  <c r="AC19" i="5"/>
  <c r="AB19" i="5"/>
  <c r="AA19" i="5"/>
  <c r="Z19" i="5"/>
  <c r="Y19" i="5"/>
  <c r="S19" i="5"/>
  <c r="R19" i="5"/>
  <c r="Q19" i="5"/>
  <c r="P19" i="5"/>
  <c r="O19" i="5"/>
  <c r="AC18" i="5"/>
  <c r="AB18" i="5"/>
  <c r="AA18" i="5"/>
  <c r="Z18" i="5"/>
  <c r="Y18" i="5"/>
  <c r="S18" i="5"/>
  <c r="R18" i="5"/>
  <c r="Q18" i="5"/>
  <c r="P18" i="5"/>
  <c r="O18" i="5"/>
  <c r="AC17" i="5"/>
  <c r="AB17" i="5"/>
  <c r="AA17" i="5"/>
  <c r="Z17" i="5"/>
  <c r="Y17" i="5"/>
  <c r="S17" i="5"/>
  <c r="R17" i="5"/>
  <c r="Q17" i="5"/>
  <c r="P17" i="5"/>
  <c r="O17" i="5"/>
  <c r="AC16" i="5"/>
  <c r="AB16" i="5"/>
  <c r="AA16" i="5"/>
  <c r="Z16" i="5"/>
  <c r="Y16" i="5"/>
  <c r="S16" i="5"/>
  <c r="R16" i="5"/>
  <c r="Q16" i="5"/>
  <c r="P16" i="5"/>
  <c r="O16" i="5"/>
  <c r="AC15" i="5"/>
  <c r="AB15" i="5"/>
  <c r="AA15" i="5"/>
  <c r="Z15" i="5"/>
  <c r="Y15" i="5"/>
  <c r="S15" i="5"/>
  <c r="R15" i="5"/>
  <c r="Q15" i="5"/>
  <c r="P15" i="5"/>
  <c r="O15" i="5"/>
  <c r="AC14" i="5"/>
  <c r="AB14" i="5"/>
  <c r="AA14" i="5"/>
  <c r="Z14" i="5"/>
  <c r="Y14" i="5"/>
  <c r="S14" i="5"/>
  <c r="R14" i="5"/>
  <c r="Q14" i="5"/>
  <c r="P14" i="5"/>
  <c r="O14" i="5"/>
  <c r="AC13" i="5"/>
  <c r="AB13" i="5"/>
  <c r="AA13" i="5"/>
  <c r="Z13" i="5"/>
  <c r="Y13" i="5"/>
  <c r="S13" i="5"/>
  <c r="R13" i="5"/>
  <c r="Q13" i="5"/>
  <c r="P13" i="5"/>
  <c r="O13" i="5"/>
  <c r="AC12" i="5"/>
  <c r="AB12" i="5"/>
  <c r="AA12" i="5"/>
  <c r="Z12" i="5"/>
  <c r="Y12" i="5"/>
  <c r="S12" i="5"/>
  <c r="R12" i="5"/>
  <c r="Q12" i="5"/>
  <c r="P12" i="5"/>
  <c r="O12" i="5"/>
  <c r="AC11" i="5"/>
  <c r="AB11" i="5"/>
  <c r="AA11" i="5"/>
  <c r="Z11" i="5"/>
  <c r="Y11" i="5"/>
  <c r="S11" i="5"/>
  <c r="R11" i="5"/>
  <c r="Q11" i="5"/>
  <c r="P11" i="5"/>
  <c r="O11" i="5"/>
  <c r="AC10" i="5"/>
  <c r="AB10" i="5"/>
  <c r="AA10" i="5"/>
  <c r="Z10" i="5"/>
  <c r="Y10" i="5"/>
  <c r="S10" i="5"/>
  <c r="R10" i="5"/>
  <c r="Q10" i="5"/>
  <c r="P10" i="5"/>
  <c r="O10" i="5"/>
  <c r="AC9" i="5"/>
  <c r="AB9" i="5"/>
  <c r="AA9" i="5"/>
  <c r="Z9" i="5"/>
  <c r="Y9" i="5"/>
  <c r="S9" i="5"/>
  <c r="R9" i="5"/>
  <c r="Q9" i="5"/>
  <c r="P9" i="5"/>
  <c r="O9" i="5"/>
  <c r="AC8" i="5"/>
  <c r="AB8" i="5"/>
  <c r="AA8" i="5"/>
  <c r="Z8" i="5"/>
  <c r="Y8" i="5"/>
  <c r="S8" i="5"/>
  <c r="R8" i="5"/>
  <c r="Q8" i="5"/>
  <c r="P8" i="5"/>
  <c r="O8" i="5"/>
  <c r="AC7" i="5"/>
  <c r="AB7" i="5"/>
  <c r="AA7" i="5"/>
  <c r="Z7" i="5"/>
  <c r="Y7" i="5"/>
  <c r="S7" i="5"/>
  <c r="R7" i="5"/>
  <c r="Q7" i="5"/>
  <c r="P7" i="5"/>
  <c r="O7" i="5"/>
  <c r="AC6" i="5"/>
  <c r="AB6" i="5"/>
  <c r="AA6" i="5"/>
  <c r="Z6" i="5"/>
  <c r="Y6" i="5"/>
  <c r="S6" i="5"/>
  <c r="R6" i="5"/>
  <c r="Q6" i="5"/>
  <c r="P6" i="5"/>
  <c r="O6" i="5"/>
  <c r="AC5" i="5"/>
  <c r="AB5" i="5"/>
  <c r="AA5" i="5"/>
  <c r="Z5" i="5"/>
  <c r="Y5" i="5"/>
  <c r="S5" i="5"/>
  <c r="R5" i="5"/>
  <c r="Q5" i="5"/>
  <c r="P5" i="5"/>
  <c r="O5" i="5"/>
  <c r="Y6" i="4"/>
  <c r="Z6" i="4"/>
  <c r="AA6" i="4"/>
  <c r="Y7" i="4"/>
  <c r="Z7" i="4"/>
  <c r="AA7" i="4"/>
  <c r="Y8" i="4"/>
  <c r="Z8" i="4"/>
  <c r="AA8" i="4"/>
  <c r="Y9" i="4"/>
  <c r="Z9" i="4"/>
  <c r="AA9" i="4"/>
  <c r="Y10" i="4"/>
  <c r="Z10" i="4"/>
  <c r="AA10" i="4"/>
  <c r="Y11" i="4"/>
  <c r="Z11" i="4"/>
  <c r="AA11" i="4"/>
  <c r="Y12" i="4"/>
  <c r="Z12" i="4"/>
  <c r="AA12" i="4"/>
  <c r="Y13" i="4"/>
  <c r="Z13" i="4"/>
  <c r="AA13" i="4"/>
  <c r="Y14" i="4"/>
  <c r="Z14" i="4"/>
  <c r="AA14" i="4"/>
  <c r="Y15" i="4"/>
  <c r="Z15" i="4"/>
  <c r="AA15" i="4"/>
  <c r="Y16" i="4"/>
  <c r="Z16" i="4"/>
  <c r="AA16" i="4"/>
  <c r="Y17" i="4"/>
  <c r="Z17" i="4"/>
  <c r="AA17" i="4"/>
  <c r="Y18" i="4"/>
  <c r="Z18" i="4"/>
  <c r="AA18" i="4"/>
  <c r="Y19" i="4"/>
  <c r="Z19" i="4"/>
  <c r="AA19" i="4"/>
  <c r="Y20" i="4"/>
  <c r="Z20" i="4"/>
  <c r="AA20" i="4"/>
  <c r="Z5" i="4"/>
  <c r="AA5" i="4"/>
  <c r="Y5" i="4"/>
  <c r="AB6" i="4"/>
  <c r="AC6" i="4"/>
  <c r="AB7" i="4"/>
  <c r="AC7" i="4"/>
  <c r="AB8" i="4"/>
  <c r="AC8" i="4"/>
  <c r="AB9" i="4"/>
  <c r="AC9" i="4"/>
  <c r="AB10" i="4"/>
  <c r="AC10" i="4"/>
  <c r="AB11" i="4"/>
  <c r="AC11" i="4"/>
  <c r="AB12" i="4"/>
  <c r="AC12" i="4"/>
  <c r="AB13" i="4"/>
  <c r="AC13" i="4"/>
  <c r="AB14" i="4"/>
  <c r="AC14" i="4"/>
  <c r="AB15" i="4"/>
  <c r="AC15" i="4"/>
  <c r="AB16" i="4"/>
  <c r="AC16" i="4"/>
  <c r="AB17" i="4"/>
  <c r="AC17" i="4"/>
  <c r="AB18" i="4"/>
  <c r="AC18" i="4"/>
  <c r="AB19" i="4"/>
  <c r="AC19" i="4"/>
  <c r="AB20" i="4"/>
  <c r="AC20" i="4"/>
  <c r="AC22" i="4"/>
  <c r="AC21" i="4"/>
  <c r="AC23" i="4"/>
  <c r="AC24" i="4"/>
  <c r="AC25" i="4"/>
  <c r="AC26" i="4"/>
  <c r="AC27" i="4"/>
  <c r="AB28" i="4"/>
  <c r="AC28" i="4"/>
  <c r="AB29" i="4"/>
  <c r="AC29" i="4"/>
  <c r="AB30" i="4"/>
  <c r="AC30" i="4"/>
  <c r="AB31" i="4"/>
  <c r="AC31" i="4"/>
  <c r="AC5" i="4"/>
  <c r="AB5" i="4"/>
  <c r="O6" i="4"/>
  <c r="P6" i="4"/>
  <c r="Q6" i="4"/>
  <c r="O7" i="4"/>
  <c r="P7" i="4"/>
  <c r="Q7" i="4"/>
  <c r="O8" i="4"/>
  <c r="P8" i="4"/>
  <c r="Q8" i="4"/>
  <c r="O9" i="4"/>
  <c r="P9" i="4"/>
  <c r="Q9" i="4"/>
  <c r="O10" i="4"/>
  <c r="P10" i="4"/>
  <c r="Q10" i="4"/>
  <c r="O11" i="4"/>
  <c r="P11" i="4"/>
  <c r="Q11" i="4"/>
  <c r="O12" i="4"/>
  <c r="P12" i="4"/>
  <c r="Q12" i="4"/>
  <c r="O13" i="4"/>
  <c r="P13" i="4"/>
  <c r="Q13" i="4"/>
  <c r="O14" i="4"/>
  <c r="P14" i="4"/>
  <c r="Q14" i="4"/>
  <c r="O15" i="4"/>
  <c r="P15" i="4"/>
  <c r="Q15" i="4"/>
  <c r="O16" i="4"/>
  <c r="P16" i="4"/>
  <c r="Q16" i="4"/>
  <c r="O17" i="4"/>
  <c r="P17" i="4"/>
  <c r="Q17" i="4"/>
  <c r="O18" i="4"/>
  <c r="P18" i="4"/>
  <c r="Q18" i="4"/>
  <c r="O19" i="4"/>
  <c r="P19" i="4"/>
  <c r="Q19" i="4"/>
  <c r="O20" i="4"/>
  <c r="P20" i="4"/>
  <c r="Q20" i="4"/>
  <c r="P5" i="4"/>
  <c r="Q5" i="4"/>
  <c r="O5" i="4"/>
  <c r="R6" i="4"/>
  <c r="S6" i="4"/>
  <c r="R7" i="4"/>
  <c r="S7" i="4"/>
  <c r="R8" i="4"/>
  <c r="S8" i="4"/>
  <c r="R9" i="4"/>
  <c r="S9" i="4"/>
  <c r="R10" i="4"/>
  <c r="S10" i="4"/>
  <c r="R11" i="4"/>
  <c r="S11" i="4"/>
  <c r="R12" i="4"/>
  <c r="S12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S22" i="4"/>
  <c r="S21" i="4"/>
  <c r="S23" i="4"/>
  <c r="S24" i="4"/>
  <c r="S25" i="4"/>
  <c r="S26" i="4"/>
  <c r="S27" i="4"/>
  <c r="R28" i="4"/>
  <c r="S28" i="4"/>
  <c r="R29" i="4"/>
  <c r="S29" i="4"/>
  <c r="R30" i="4"/>
  <c r="S30" i="4"/>
  <c r="R31" i="4"/>
  <c r="S31" i="4"/>
  <c r="S5" i="4"/>
  <c r="R5" i="4"/>
  <c r="J8" i="4" l="1"/>
  <c r="H33" i="4"/>
  <c r="O71" i="1"/>
  <c r="U71" i="1"/>
  <c r="S71" i="1"/>
  <c r="S54" i="1"/>
  <c r="U54" i="1"/>
  <c r="O54" i="1"/>
  <c r="S57" i="1"/>
  <c r="U57" i="1"/>
  <c r="O57" i="1"/>
  <c r="R33" i="5"/>
  <c r="T33" i="5" s="1"/>
  <c r="AC33" i="5"/>
  <c r="AD33" i="5" s="1"/>
  <c r="T25" i="5"/>
  <c r="P33" i="5"/>
  <c r="Q33" i="5"/>
  <c r="O33" i="5"/>
  <c r="AB23" i="5"/>
  <c r="AD23" i="5" s="1"/>
  <c r="T23" i="5"/>
  <c r="S32" i="5"/>
  <c r="O34" i="5"/>
  <c r="Y34" i="5"/>
  <c r="P34" i="5"/>
  <c r="Z34" i="5"/>
  <c r="AB22" i="5"/>
  <c r="J25" i="5"/>
  <c r="H26" i="5"/>
  <c r="F32" i="5"/>
  <c r="H27" i="5"/>
  <c r="Q27" i="5"/>
  <c r="O32" i="5"/>
  <c r="G34" i="5"/>
  <c r="S34" i="5"/>
  <c r="H21" i="5"/>
  <c r="Y21" i="5"/>
  <c r="J23" i="5"/>
  <c r="H24" i="5"/>
  <c r="J33" i="5"/>
  <c r="AB25" i="5"/>
  <c r="AD25" i="5" s="1"/>
  <c r="AA26" i="5"/>
  <c r="Z27" i="5"/>
  <c r="G32" i="5"/>
  <c r="J26" i="5" l="1"/>
  <c r="AB26" i="5"/>
  <c r="AD26" i="5" s="1"/>
  <c r="R26" i="5"/>
  <c r="T26" i="5" s="1"/>
  <c r="R21" i="5"/>
  <c r="T21" i="5" s="1"/>
  <c r="H32" i="5"/>
  <c r="H34" i="5"/>
  <c r="AB21" i="5"/>
  <c r="AD21" i="5" s="1"/>
  <c r="J21" i="5"/>
  <c r="Q34" i="5"/>
  <c r="AA34" i="5"/>
  <c r="Z32" i="5"/>
  <c r="P32" i="5"/>
  <c r="Q32" i="5"/>
  <c r="AA32" i="5"/>
  <c r="R24" i="5"/>
  <c r="T24" i="5" s="1"/>
  <c r="AB24" i="5"/>
  <c r="AD24" i="5" s="1"/>
  <c r="J24" i="5"/>
  <c r="AB27" i="5"/>
  <c r="AD27" i="5" s="1"/>
  <c r="J27" i="5"/>
  <c r="R27" i="5"/>
  <c r="T27" i="5" s="1"/>
  <c r="J32" i="5" l="1"/>
  <c r="AB32" i="5"/>
  <c r="AD32" i="5" s="1"/>
  <c r="R32" i="5"/>
  <c r="T32" i="5" s="1"/>
  <c r="R34" i="5"/>
  <c r="T34" i="5" s="1"/>
  <c r="AB34" i="5"/>
  <c r="AD34" i="5" s="1"/>
  <c r="J34" i="5"/>
  <c r="E33" i="4" l="1"/>
  <c r="F33" i="4"/>
  <c r="G33" i="4"/>
  <c r="F21" i="4"/>
  <c r="G21" i="4"/>
  <c r="E21" i="4"/>
  <c r="I33" i="4"/>
  <c r="H57" i="3"/>
  <c r="I57" i="3" s="1"/>
  <c r="H56" i="3"/>
  <c r="I56" i="3" s="1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AM51" i="3"/>
  <c r="AL51" i="3"/>
  <c r="AK51" i="3"/>
  <c r="AJ51" i="3"/>
  <c r="AI51" i="3"/>
  <c r="AH51" i="3"/>
  <c r="AG51" i="3"/>
  <c r="AF51" i="3"/>
  <c r="AE51" i="3"/>
  <c r="AC51" i="3"/>
  <c r="AB51" i="3"/>
  <c r="AA51" i="3"/>
  <c r="Z51" i="3"/>
  <c r="Y51" i="3"/>
  <c r="X51" i="3"/>
  <c r="W51" i="3"/>
  <c r="V51" i="3"/>
  <c r="U51" i="3"/>
  <c r="T51" i="3"/>
  <c r="AM50" i="3"/>
  <c r="AL50" i="3"/>
  <c r="AK50" i="3"/>
  <c r="AJ50" i="3"/>
  <c r="AI50" i="3"/>
  <c r="AH50" i="3"/>
  <c r="AG50" i="3"/>
  <c r="AF50" i="3"/>
  <c r="AE50" i="3"/>
  <c r="AC50" i="3"/>
  <c r="AB50" i="3"/>
  <c r="AA50" i="3"/>
  <c r="Z50" i="3"/>
  <c r="Y50" i="3"/>
  <c r="X50" i="3"/>
  <c r="W50" i="3"/>
  <c r="V50" i="3"/>
  <c r="U50" i="3"/>
  <c r="T50" i="3"/>
  <c r="AM49" i="3"/>
  <c r="AK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AM48" i="3"/>
  <c r="AL48" i="3"/>
  <c r="AK48" i="3"/>
  <c r="AH48" i="3"/>
  <c r="AG48" i="3"/>
  <c r="AF48" i="3"/>
  <c r="AD48" i="3"/>
  <c r="AC48" i="3"/>
  <c r="AB48" i="3"/>
  <c r="AA48" i="3"/>
  <c r="Z48" i="3"/>
  <c r="Y48" i="3"/>
  <c r="X48" i="3"/>
  <c r="V48" i="3"/>
  <c r="U48" i="3"/>
  <c r="T48" i="3"/>
  <c r="AM47" i="3"/>
  <c r="AL47" i="3"/>
  <c r="AK47" i="3"/>
  <c r="AJ47" i="3"/>
  <c r="AI47" i="3"/>
  <c r="AH47" i="3"/>
  <c r="AG47" i="3"/>
  <c r="AF47" i="3"/>
  <c r="AE47" i="3"/>
  <c r="AC47" i="3"/>
  <c r="AB47" i="3"/>
  <c r="AA47" i="3"/>
  <c r="Z47" i="3"/>
  <c r="Y47" i="3"/>
  <c r="X47" i="3"/>
  <c r="V47" i="3"/>
  <c r="U47" i="3"/>
  <c r="T47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U46" i="3"/>
  <c r="T46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AM37" i="3"/>
  <c r="AL37" i="3"/>
  <c r="AK37" i="3"/>
  <c r="AJ37" i="3"/>
  <c r="AI37" i="3"/>
  <c r="AH37" i="3"/>
  <c r="AG37" i="3"/>
  <c r="AF37" i="3"/>
  <c r="AE37" i="3"/>
  <c r="AC37" i="3"/>
  <c r="AB37" i="3"/>
  <c r="AA37" i="3"/>
  <c r="Z37" i="3"/>
  <c r="Y37" i="3"/>
  <c r="X37" i="3"/>
  <c r="W37" i="3"/>
  <c r="V37" i="3"/>
  <c r="U37" i="3"/>
  <c r="T37" i="3"/>
  <c r="AM36" i="3"/>
  <c r="AL36" i="3"/>
  <c r="AK36" i="3"/>
  <c r="AJ36" i="3"/>
  <c r="AI36" i="3"/>
  <c r="AH36" i="3"/>
  <c r="AG36" i="3"/>
  <c r="AF36" i="3"/>
  <c r="AE36" i="3"/>
  <c r="AC36" i="3"/>
  <c r="AB36" i="3"/>
  <c r="AA36" i="3"/>
  <c r="Z36" i="3"/>
  <c r="Y36" i="3"/>
  <c r="X36" i="3"/>
  <c r="W36" i="3"/>
  <c r="V36" i="3"/>
  <c r="U36" i="3"/>
  <c r="T36" i="3"/>
  <c r="AM35" i="3"/>
  <c r="AL35" i="3"/>
  <c r="AK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AM34" i="3"/>
  <c r="AK34" i="3"/>
  <c r="AH34" i="3"/>
  <c r="AG34" i="3"/>
  <c r="AF34" i="3"/>
  <c r="AD34" i="3"/>
  <c r="AC34" i="3"/>
  <c r="AB34" i="3"/>
  <c r="AA34" i="3"/>
  <c r="Z34" i="3"/>
  <c r="Y34" i="3"/>
  <c r="X34" i="3"/>
  <c r="W34" i="3"/>
  <c r="V34" i="3"/>
  <c r="U34" i="3"/>
  <c r="T34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AM32" i="3"/>
  <c r="AL32" i="3"/>
  <c r="AK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U32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AM21" i="3"/>
  <c r="AL21" i="3"/>
  <c r="AK21" i="3"/>
  <c r="AJ21" i="3"/>
  <c r="AI21" i="3"/>
  <c r="AH21" i="3"/>
  <c r="AG21" i="3"/>
  <c r="AF21" i="3"/>
  <c r="AE21" i="3"/>
  <c r="AC21" i="3"/>
  <c r="AB21" i="3"/>
  <c r="AA21" i="3"/>
  <c r="Z21" i="3"/>
  <c r="Y21" i="3"/>
  <c r="X21" i="3"/>
  <c r="W21" i="3"/>
  <c r="V21" i="3"/>
  <c r="U21" i="3"/>
  <c r="T21" i="3"/>
  <c r="AM20" i="3"/>
  <c r="AL20" i="3"/>
  <c r="AK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AM19" i="3"/>
  <c r="AK19" i="3"/>
  <c r="AJ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AM18" i="3"/>
  <c r="AL18" i="3"/>
  <c r="AK18" i="3"/>
  <c r="AJ18" i="3"/>
  <c r="AI18" i="3"/>
  <c r="AH18" i="3"/>
  <c r="AG18" i="3"/>
  <c r="AF18" i="3"/>
  <c r="AD18" i="3"/>
  <c r="AC18" i="3"/>
  <c r="AB18" i="3"/>
  <c r="AA18" i="3"/>
  <c r="Z18" i="3"/>
  <c r="Y18" i="3"/>
  <c r="X18" i="3"/>
  <c r="U18" i="3"/>
  <c r="T18" i="3"/>
  <c r="T41" i="3"/>
  <c r="AD21" i="3"/>
  <c r="AD36" i="3"/>
  <c r="AJ35" i="3"/>
  <c r="AI35" i="3"/>
  <c r="AJ34" i="3"/>
  <c r="AI20" i="3"/>
  <c r="AL49" i="3"/>
  <c r="AI49" i="3"/>
  <c r="AE18" i="3"/>
  <c r="AD47" i="3"/>
  <c r="W48" i="3"/>
  <c r="AJ48" i="3"/>
  <c r="AI48" i="3"/>
  <c r="V46" i="3"/>
  <c r="W46" i="3"/>
  <c r="W47" i="3"/>
  <c r="T32" i="3"/>
  <c r="AC33" i="4" l="1"/>
  <c r="S33" i="4"/>
  <c r="AC34" i="4"/>
  <c r="S34" i="4"/>
  <c r="S32" i="4"/>
  <c r="AC32" i="4"/>
  <c r="AA33" i="4"/>
  <c r="Q33" i="4"/>
  <c r="Z33" i="4"/>
  <c r="P33" i="4"/>
  <c r="R33" i="4"/>
  <c r="T33" i="4" s="1"/>
  <c r="AB33" i="4"/>
  <c r="AD33" i="4" s="1"/>
  <c r="J33" i="4"/>
  <c r="O33" i="4"/>
  <c r="Y33" i="4"/>
  <c r="H54" i="3"/>
  <c r="I54" i="3" s="1"/>
  <c r="H52" i="3"/>
  <c r="I52" i="3" s="1"/>
  <c r="H22" i="3"/>
  <c r="I22" i="3" s="1"/>
  <c r="H28" i="3"/>
  <c r="I28" i="3" s="1"/>
  <c r="H29" i="3"/>
  <c r="I29" i="3" s="1"/>
  <c r="H33" i="3"/>
  <c r="I33" i="3" s="1"/>
  <c r="H53" i="3"/>
  <c r="I53" i="3" s="1"/>
  <c r="H39" i="3"/>
  <c r="I39" i="3" s="1"/>
  <c r="H24" i="3"/>
  <c r="I24" i="3" s="1"/>
  <c r="H27" i="3"/>
  <c r="I27" i="3" s="1"/>
  <c r="H23" i="3"/>
  <c r="I23" i="3" s="1"/>
  <c r="H43" i="3"/>
  <c r="I43" i="3" s="1"/>
  <c r="H26" i="3"/>
  <c r="I26" i="3" s="1"/>
  <c r="H40" i="3"/>
  <c r="D40" i="3" s="1"/>
  <c r="C40" i="3" s="1"/>
  <c r="O21" i="4"/>
  <c r="Y21" i="4"/>
  <c r="Q21" i="4"/>
  <c r="AA21" i="4"/>
  <c r="H21" i="4"/>
  <c r="P21" i="4"/>
  <c r="Z21" i="4"/>
  <c r="H41" i="3"/>
  <c r="I41" i="3" s="1"/>
  <c r="H42" i="3"/>
  <c r="I42" i="3" s="1"/>
  <c r="H38" i="3"/>
  <c r="D38" i="3" s="1"/>
  <c r="C38" i="3" s="1"/>
  <c r="H36" i="3"/>
  <c r="H21" i="3"/>
  <c r="H35" i="3"/>
  <c r="I40" i="3"/>
  <c r="H46" i="3"/>
  <c r="H47" i="3"/>
  <c r="I47" i="3" s="1"/>
  <c r="AI19" i="3"/>
  <c r="H19" i="3" s="1"/>
  <c r="AJ20" i="3"/>
  <c r="H20" i="3" s="1"/>
  <c r="W32" i="3"/>
  <c r="AJ32" i="3"/>
  <c r="AL34" i="3"/>
  <c r="AJ49" i="3"/>
  <c r="H49" i="3" s="1"/>
  <c r="I49" i="3" s="1"/>
  <c r="AL19" i="3"/>
  <c r="V32" i="3"/>
  <c r="V18" i="3"/>
  <c r="AE34" i="3"/>
  <c r="AD37" i="3"/>
  <c r="H37" i="3" s="1"/>
  <c r="AE48" i="3"/>
  <c r="H48" i="3" s="1"/>
  <c r="I48" i="3" s="1"/>
  <c r="AD50" i="3"/>
  <c r="H50" i="3" s="1"/>
  <c r="I50" i="3" s="1"/>
  <c r="T55" i="3"/>
  <c r="H55" i="3" s="1"/>
  <c r="I55" i="3" s="1"/>
  <c r="AD51" i="3"/>
  <c r="H51" i="3" s="1"/>
  <c r="I51" i="3" s="1"/>
  <c r="W18" i="3"/>
  <c r="T25" i="3"/>
  <c r="H25" i="3" s="1"/>
  <c r="I25" i="3" s="1"/>
  <c r="AI34" i="3"/>
  <c r="J21" i="4" l="1"/>
  <c r="H32" i="3"/>
  <c r="D33" i="3"/>
  <c r="C33" i="3" s="1"/>
  <c r="H34" i="3"/>
  <c r="D34" i="3" s="1"/>
  <c r="C34" i="3" s="1"/>
  <c r="H18" i="3"/>
  <c r="H30" i="3" s="1"/>
  <c r="I30" i="3" s="1"/>
  <c r="D39" i="3"/>
  <c r="C39" i="3" s="1"/>
  <c r="R21" i="4"/>
  <c r="AB21" i="4"/>
  <c r="I38" i="3"/>
  <c r="I34" i="3"/>
  <c r="I19" i="3"/>
  <c r="D19" i="3"/>
  <c r="C19" i="3" s="1"/>
  <c r="H44" i="3"/>
  <c r="D32" i="3"/>
  <c r="C32" i="3" s="1"/>
  <c r="I32" i="3"/>
  <c r="I37" i="3"/>
  <c r="D37" i="3"/>
  <c r="C37" i="3" s="1"/>
  <c r="D21" i="3"/>
  <c r="C21" i="3" s="1"/>
  <c r="I21" i="3"/>
  <c r="D36" i="3"/>
  <c r="C36" i="3" s="1"/>
  <c r="I36" i="3"/>
  <c r="I20" i="3"/>
  <c r="D20" i="3"/>
  <c r="C20" i="3" s="1"/>
  <c r="H58" i="3"/>
  <c r="I46" i="3"/>
  <c r="I58" i="3" s="1"/>
  <c r="I35" i="3"/>
  <c r="D35" i="3"/>
  <c r="C35" i="3" s="1"/>
  <c r="D18" i="3" l="1"/>
  <c r="C18" i="3" s="1"/>
  <c r="I18" i="3"/>
  <c r="AB17" i="1" l="1"/>
  <c r="AK17" i="1" s="1"/>
  <c r="AT17" i="1" s="1"/>
  <c r="AB16" i="1"/>
  <c r="G27" i="4"/>
  <c r="E89" i="1"/>
  <c r="E88" i="1"/>
  <c r="E86" i="1"/>
  <c r="E84" i="1"/>
  <c r="D86" i="1"/>
  <c r="D84" i="1"/>
  <c r="AK16" i="1" l="1"/>
  <c r="AK42" i="1" s="1"/>
  <c r="AB42" i="1"/>
  <c r="E56" i="1"/>
  <c r="E73" i="1"/>
  <c r="E51" i="1"/>
  <c r="E68" i="1"/>
  <c r="E55" i="1"/>
  <c r="E72" i="1"/>
  <c r="D68" i="1"/>
  <c r="D51" i="1"/>
  <c r="U84" i="1"/>
  <c r="O84" i="1"/>
  <c r="S84" i="1"/>
  <c r="D53" i="1"/>
  <c r="D70" i="1"/>
  <c r="D88" i="1"/>
  <c r="F25" i="4" s="1"/>
  <c r="P25" i="4" s="1"/>
  <c r="D89" i="1"/>
  <c r="F24" i="4" s="1"/>
  <c r="E70" i="1"/>
  <c r="E53" i="1"/>
  <c r="F22" i="4"/>
  <c r="AT16" i="1"/>
  <c r="F27" i="4"/>
  <c r="G22" i="4"/>
  <c r="AA27" i="4"/>
  <c r="Q27" i="4"/>
  <c r="G23" i="4"/>
  <c r="G25" i="4"/>
  <c r="G24" i="4"/>
  <c r="F23" i="4"/>
  <c r="AT42" i="1" l="1"/>
  <c r="E85" i="1" s="1"/>
  <c r="Z24" i="4"/>
  <c r="P24" i="4"/>
  <c r="U68" i="1"/>
  <c r="O68" i="1"/>
  <c r="S68" i="1"/>
  <c r="D85" i="1"/>
  <c r="Z25" i="4"/>
  <c r="U51" i="1"/>
  <c r="S51" i="1"/>
  <c r="O51" i="1"/>
  <c r="D73" i="1"/>
  <c r="D56" i="1"/>
  <c r="D72" i="1"/>
  <c r="D55" i="1"/>
  <c r="Z27" i="4"/>
  <c r="P27" i="4"/>
  <c r="AA22" i="4"/>
  <c r="Q22" i="4"/>
  <c r="P22" i="4"/>
  <c r="Z22" i="4"/>
  <c r="AA24" i="4"/>
  <c r="Q24" i="4"/>
  <c r="Q25" i="4"/>
  <c r="AA25" i="4"/>
  <c r="AA23" i="4"/>
  <c r="Q23" i="4"/>
  <c r="Z23" i="4"/>
  <c r="P23" i="4"/>
  <c r="E69" i="1" l="1"/>
  <c r="E79" i="1" s="1"/>
  <c r="E95" i="1"/>
  <c r="G36" i="4" s="1"/>
  <c r="G26" i="4"/>
  <c r="G32" i="4" s="1"/>
  <c r="Q32" i="4" s="1"/>
  <c r="E52" i="1"/>
  <c r="E63" i="1" s="1"/>
  <c r="D52" i="1"/>
  <c r="D63" i="1" s="1"/>
  <c r="D69" i="1"/>
  <c r="D79" i="1" s="1"/>
  <c r="D95" i="1"/>
  <c r="F36" i="4" s="1"/>
  <c r="F26" i="4"/>
  <c r="Z36" i="4" l="1"/>
  <c r="P36" i="4"/>
  <c r="AA36" i="4"/>
  <c r="Q36" i="4"/>
  <c r="AA32" i="4"/>
  <c r="AA26" i="4"/>
  <c r="G34" i="4"/>
  <c r="Q34" i="4" s="1"/>
  <c r="Q26" i="4"/>
  <c r="F34" i="4"/>
  <c r="P26" i="4"/>
  <c r="Z26" i="4"/>
  <c r="F32" i="4"/>
  <c r="AA34" i="4" l="1"/>
  <c r="P32" i="4"/>
  <c r="Z32" i="4"/>
  <c r="P34" i="4"/>
  <c r="Z34" i="4"/>
  <c r="C86" i="1" l="1"/>
  <c r="C88" i="1"/>
  <c r="C89" i="1"/>
  <c r="C85" i="1"/>
  <c r="U15" i="1"/>
  <c r="T15" i="1" s="1"/>
  <c r="U14" i="1"/>
  <c r="T14" i="1" s="1"/>
  <c r="U13" i="1"/>
  <c r="T13" i="1" s="1"/>
  <c r="U12" i="1"/>
  <c r="T12" i="1" s="1"/>
  <c r="U11" i="1"/>
  <c r="T11" i="1" s="1"/>
  <c r="U10" i="1"/>
  <c r="T10" i="1" s="1"/>
  <c r="U9" i="1"/>
  <c r="T9" i="1" s="1"/>
  <c r="U8" i="1"/>
  <c r="T8" i="1" s="1"/>
  <c r="U7" i="1"/>
  <c r="T7" i="1" s="1"/>
  <c r="U6" i="1"/>
  <c r="T6" i="1" s="1"/>
  <c r="U5" i="1"/>
  <c r="T5" i="1" s="1"/>
  <c r="U4" i="1"/>
  <c r="T4" i="1" s="1"/>
  <c r="U3" i="1"/>
  <c r="T3" i="1" s="1"/>
  <c r="U2" i="1"/>
  <c r="T2" i="1" s="1"/>
  <c r="S2" i="1"/>
  <c r="C55" i="1" l="1"/>
  <c r="O88" i="1"/>
  <c r="U88" i="1"/>
  <c r="C72" i="1"/>
  <c r="S88" i="1"/>
  <c r="C70" i="1"/>
  <c r="S86" i="1"/>
  <c r="U86" i="1"/>
  <c r="O86" i="1"/>
  <c r="C53" i="1"/>
  <c r="O85" i="1"/>
  <c r="C52" i="1"/>
  <c r="C69" i="1"/>
  <c r="S85" i="1"/>
  <c r="U85" i="1"/>
  <c r="C95" i="1"/>
  <c r="E36" i="4" s="1"/>
  <c r="O89" i="1"/>
  <c r="C73" i="1"/>
  <c r="S89" i="1"/>
  <c r="U89" i="1"/>
  <c r="C56" i="1"/>
  <c r="E22" i="4"/>
  <c r="E25" i="4"/>
  <c r="E27" i="4"/>
  <c r="E26" i="4"/>
  <c r="E24" i="4"/>
  <c r="E23" i="4"/>
  <c r="Y36" i="4" l="1"/>
  <c r="H36" i="4"/>
  <c r="O36" i="4"/>
  <c r="O95" i="1"/>
  <c r="S95" i="1"/>
  <c r="U95" i="1"/>
  <c r="O70" i="1"/>
  <c r="U70" i="1"/>
  <c r="S70" i="1"/>
  <c r="O56" i="1"/>
  <c r="U56" i="1"/>
  <c r="S56" i="1"/>
  <c r="O52" i="1"/>
  <c r="U52" i="1"/>
  <c r="S52" i="1"/>
  <c r="C63" i="1"/>
  <c r="S53" i="1"/>
  <c r="U53" i="1"/>
  <c r="O53" i="1"/>
  <c r="S69" i="1"/>
  <c r="O69" i="1"/>
  <c r="U69" i="1"/>
  <c r="C79" i="1"/>
  <c r="S72" i="1"/>
  <c r="U72" i="1"/>
  <c r="O72" i="1"/>
  <c r="S73" i="1"/>
  <c r="U73" i="1"/>
  <c r="O73" i="1"/>
  <c r="O55" i="1"/>
  <c r="U55" i="1"/>
  <c r="S55" i="1"/>
  <c r="H26" i="4"/>
  <c r="O26" i="4"/>
  <c r="Y26" i="4"/>
  <c r="O25" i="4"/>
  <c r="Y25" i="4"/>
  <c r="H25" i="4"/>
  <c r="H27" i="4"/>
  <c r="O27" i="4"/>
  <c r="Y27" i="4"/>
  <c r="O22" i="4"/>
  <c r="Y22" i="4"/>
  <c r="H22" i="4"/>
  <c r="H24" i="4"/>
  <c r="Y24" i="4"/>
  <c r="O24" i="4"/>
  <c r="H23" i="4"/>
  <c r="Y23" i="4"/>
  <c r="O23" i="4"/>
  <c r="E32" i="4"/>
  <c r="E34" i="4"/>
  <c r="J22" i="4" l="1"/>
  <c r="H34" i="4"/>
  <c r="J34" i="4" s="1"/>
  <c r="H32" i="4"/>
  <c r="AB36" i="4"/>
  <c r="R36" i="4"/>
  <c r="O63" i="1"/>
  <c r="U63" i="1"/>
  <c r="S63" i="1"/>
  <c r="S79" i="1"/>
  <c r="U79" i="1"/>
  <c r="O79" i="1"/>
  <c r="J27" i="4"/>
  <c r="R27" i="4"/>
  <c r="T27" i="4" s="1"/>
  <c r="AB27" i="4"/>
  <c r="AD27" i="4" s="1"/>
  <c r="J26" i="4"/>
  <c r="R26" i="4"/>
  <c r="T26" i="4" s="1"/>
  <c r="AB26" i="4"/>
  <c r="AD26" i="4" s="1"/>
  <c r="J25" i="4"/>
  <c r="AB25" i="4"/>
  <c r="AD25" i="4" s="1"/>
  <c r="R25" i="4"/>
  <c r="T25" i="4" s="1"/>
  <c r="R22" i="4"/>
  <c r="T22" i="4" s="1"/>
  <c r="AB22" i="4"/>
  <c r="AD22" i="4" s="1"/>
  <c r="J24" i="4"/>
  <c r="R24" i="4"/>
  <c r="T24" i="4" s="1"/>
  <c r="AB24" i="4"/>
  <c r="AD24" i="4" s="1"/>
  <c r="Y32" i="4"/>
  <c r="O32" i="4"/>
  <c r="J23" i="4"/>
  <c r="R23" i="4"/>
  <c r="T23" i="4" s="1"/>
  <c r="AB23" i="4"/>
  <c r="AD23" i="4" s="1"/>
  <c r="O34" i="4"/>
  <c r="Y34" i="4"/>
  <c r="AB34" i="4" l="1"/>
  <c r="AD34" i="4" s="1"/>
  <c r="R34" i="4"/>
  <c r="T34" i="4" s="1"/>
  <c r="J32" i="4"/>
  <c r="AB32" i="4"/>
  <c r="AD32" i="4" s="1"/>
  <c r="R32" i="4"/>
  <c r="T32" i="4" s="1"/>
</calcChain>
</file>

<file path=xl/sharedStrings.xml><?xml version="1.0" encoding="utf-8"?>
<sst xmlns="http://schemas.openxmlformats.org/spreadsheetml/2006/main" count="973" uniqueCount="258">
  <si>
    <t>Region</t>
  </si>
  <si>
    <t>Status</t>
  </si>
  <si>
    <t>NBV Month</t>
  </si>
  <si>
    <t>NBV Value</t>
  </si>
  <si>
    <t>NBV Week</t>
  </si>
  <si>
    <t>Placement ID &amp; Link</t>
  </si>
  <si>
    <t>Client</t>
  </si>
  <si>
    <t>Candidate</t>
  </si>
  <si>
    <t>Payroll / Ltd. Co</t>
  </si>
  <si>
    <t>Role</t>
  </si>
  <si>
    <t>Consultant</t>
  </si>
  <si>
    <t>Resourcer</t>
  </si>
  <si>
    <t>Start Date</t>
  </si>
  <si>
    <t>Hourly Rate</t>
  </si>
  <si>
    <t>Hourly Margin</t>
  </si>
  <si>
    <t>%</t>
  </si>
  <si>
    <t>Currency</t>
  </si>
  <si>
    <t>End / Review Date</t>
  </si>
  <si>
    <t>ZAR Margin PD</t>
  </si>
  <si>
    <t>ZAR Forecast PW</t>
  </si>
  <si>
    <t>ZAR Forecast GP/ PM</t>
  </si>
  <si>
    <t>Rod G</t>
  </si>
  <si>
    <t>Mandy D</t>
  </si>
  <si>
    <t>Sheldon B</t>
  </si>
  <si>
    <t>Jesse V</t>
  </si>
  <si>
    <t>Nicole S</t>
  </si>
  <si>
    <t>Kyla M</t>
  </si>
  <si>
    <t>SSA</t>
  </si>
  <si>
    <t>Momentum (MHG)</t>
  </si>
  <si>
    <t>Ltd.</t>
  </si>
  <si>
    <t>Scrum Master</t>
  </si>
  <si>
    <t>ZAR</t>
  </si>
  <si>
    <t>Live</t>
  </si>
  <si>
    <t>September</t>
  </si>
  <si>
    <t>CL-03252025-5075</t>
  </si>
  <si>
    <t>Rex Schelling</t>
  </si>
  <si>
    <t>Payroll</t>
  </si>
  <si>
    <t>Agile Coach</t>
  </si>
  <si>
    <t>April</t>
  </si>
  <si>
    <t>CL-04102025-5086</t>
  </si>
  <si>
    <t>Preshantin Moodley</t>
  </si>
  <si>
    <t>Intermediate Scrum Master</t>
  </si>
  <si>
    <t>Siemens</t>
  </si>
  <si>
    <t>May</t>
  </si>
  <si>
    <t>CL-05092025-5108</t>
  </si>
  <si>
    <t>Christoff Lombard</t>
  </si>
  <si>
    <t>UI Frontend Developer</t>
  </si>
  <si>
    <t>Jesse VDP</t>
  </si>
  <si>
    <t>July</t>
  </si>
  <si>
    <t>CL-07112025-5142</t>
  </si>
  <si>
    <t>Deyendran Lalalam</t>
  </si>
  <si>
    <t>19,57%</t>
  </si>
  <si>
    <t>CL-07102025-5141</t>
  </si>
  <si>
    <t>Christopher Bickell</t>
  </si>
  <si>
    <t>CL-07142025-5146</t>
  </si>
  <si>
    <t>Nexio</t>
  </si>
  <si>
    <t>Sizwe Thabethe</t>
  </si>
  <si>
    <t>Service Technician</t>
  </si>
  <si>
    <t>31,5%</t>
  </si>
  <si>
    <t>CL-07092025-5140</t>
  </si>
  <si>
    <t>Brandon Zimri</t>
  </si>
  <si>
    <t>CL-09082025-5198</t>
  </si>
  <si>
    <t>Innocent Rapula Molaodi</t>
  </si>
  <si>
    <t>Assurance Engineer Level 2</t>
  </si>
  <si>
    <t>CL-09152025-5202</t>
  </si>
  <si>
    <t>Decision Inc.</t>
  </si>
  <si>
    <t>Veloshinie Naidoo</t>
  </si>
  <si>
    <t>Dynamics BC Consultant</t>
  </si>
  <si>
    <t>22nd Sept 2025</t>
  </si>
  <si>
    <t>30th April 2026</t>
  </si>
  <si>
    <t>October</t>
  </si>
  <si>
    <t>CL-11032025-5257</t>
  </si>
  <si>
    <t>Yethu Dlamini</t>
  </si>
  <si>
    <t>Communications Specialist</t>
  </si>
  <si>
    <t xml:space="preserve">Nicole S </t>
  </si>
  <si>
    <t>November</t>
  </si>
  <si>
    <t>CL-12042025-5325</t>
  </si>
  <si>
    <t>Siyabonga Zama</t>
  </si>
  <si>
    <t>Hub Accountant</t>
  </si>
  <si>
    <t>SA</t>
  </si>
  <si>
    <t>February</t>
  </si>
  <si>
    <t>Bernice Langman</t>
  </si>
  <si>
    <t>Operations Assistant</t>
  </si>
  <si>
    <t>Chanelle Alben</t>
  </si>
  <si>
    <t>Siyanda Dlephu</t>
  </si>
  <si>
    <t>Test Analyst</t>
  </si>
  <si>
    <t>US</t>
  </si>
  <si>
    <t>DS CPA Corp.</t>
  </si>
  <si>
    <t>Olamide Ashade</t>
  </si>
  <si>
    <t>FTC</t>
  </si>
  <si>
    <t>CPA</t>
  </si>
  <si>
    <t>March</t>
  </si>
  <si>
    <t>Khomotso Mokobodi</t>
  </si>
  <si>
    <t xml:space="preserve">Payroll </t>
  </si>
  <si>
    <t>Aviwe Mngcotane</t>
  </si>
  <si>
    <t>NBV</t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</si>
  <si>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</si>
  <si>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</si>
  <si>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</si>
  <si>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</si>
  <si>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</si>
  <si>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</si>
  <si>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</si>
  <si>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</si>
  <si>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</si>
  <si>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</si>
  <si>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</si>
  <si>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</si>
  <si>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</si>
  <si>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NFI</t>
  </si>
  <si>
    <t>Q1</t>
  </si>
  <si>
    <t>Q2</t>
  </si>
  <si>
    <t>Q3</t>
  </si>
  <si>
    <t>Q4</t>
  </si>
  <si>
    <t>HY1</t>
  </si>
  <si>
    <t>HY2</t>
  </si>
  <si>
    <t>FX</t>
  </si>
  <si>
    <t>USD</t>
  </si>
  <si>
    <t>GBP</t>
  </si>
  <si>
    <t>Rod G.</t>
  </si>
  <si>
    <t>Tom H</t>
  </si>
  <si>
    <t>Mandy D.</t>
  </si>
  <si>
    <t>Max G.</t>
  </si>
  <si>
    <t>Sheldon B.</t>
  </si>
  <si>
    <t>Jesse V.</t>
  </si>
  <si>
    <t>Consultant / Month</t>
  </si>
  <si>
    <t>APR &gt;</t>
  </si>
  <si>
    <t>Tom H.</t>
  </si>
  <si>
    <t>TOTALS</t>
  </si>
  <si>
    <t>FY27</t>
  </si>
  <si>
    <t>Timothy Hewitt</t>
  </si>
  <si>
    <t>MAY &gt;</t>
  </si>
  <si>
    <t>JUN &gt;</t>
  </si>
  <si>
    <t>GP FORECAST</t>
  </si>
  <si>
    <t>Cons / Month</t>
  </si>
  <si>
    <t>NBV month</t>
  </si>
  <si>
    <t>REGION</t>
  </si>
  <si>
    <t>BUSINESS UNIT</t>
  </si>
  <si>
    <t>IOA / IOS</t>
  </si>
  <si>
    <t>Placement ID</t>
  </si>
  <si>
    <t>Value (ZAR)</t>
  </si>
  <si>
    <t>Start Month</t>
  </si>
  <si>
    <t>Invoice / Credit Month</t>
  </si>
  <si>
    <t>Start Day</t>
  </si>
  <si>
    <t>BH Placement ID</t>
  </si>
  <si>
    <t>Invoice Sent, Received &amp; Correct?</t>
  </si>
  <si>
    <t>Conf. of Start?</t>
  </si>
  <si>
    <t>CANDIDATE</t>
  </si>
  <si>
    <t>POSITION</t>
  </si>
  <si>
    <t>CONSULTANT</t>
  </si>
  <si>
    <t>RESOURCER</t>
  </si>
  <si>
    <t>LEE B</t>
  </si>
  <si>
    <t>ROBYN A</t>
  </si>
  <si>
    <t>NICOLE S</t>
  </si>
  <si>
    <t>MATT T</t>
  </si>
  <si>
    <t>KYLA G</t>
  </si>
  <si>
    <t>ZARA K</t>
  </si>
  <si>
    <t>JP ROOS</t>
  </si>
  <si>
    <t>WARREN B</t>
  </si>
  <si>
    <t>LUFUNO O</t>
  </si>
  <si>
    <t>STEPH P</t>
  </si>
  <si>
    <t>MANDY D</t>
  </si>
  <si>
    <t>SHELDON B</t>
  </si>
  <si>
    <t>ROD G</t>
  </si>
  <si>
    <t>JESSE V</t>
  </si>
  <si>
    <t>LARA JVR</t>
  </si>
  <si>
    <t>South Africa</t>
  </si>
  <si>
    <t>Lee Bishop</t>
  </si>
  <si>
    <t>IOS</t>
  </si>
  <si>
    <t>PPH</t>
  </si>
  <si>
    <t># HEADS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</si>
  <si>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</si>
  <si>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</si>
  <si>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</si>
  <si>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</si>
  <si>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</si>
  <si>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</si>
  <si>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</si>
  <si>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</si>
  <si>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</si>
  <si>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</si>
  <si>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</si>
  <si>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STARTERS</t>
  </si>
  <si>
    <t>Apr</t>
  </si>
  <si>
    <t>Jun</t>
  </si>
  <si>
    <t>Q1 Actual</t>
  </si>
  <si>
    <t>Q1 Target</t>
  </si>
  <si>
    <t>% Achieved</t>
  </si>
  <si>
    <t>Perm / Temp</t>
  </si>
  <si>
    <t>Business</t>
  </si>
  <si>
    <t>Warren Beder</t>
  </si>
  <si>
    <t>Lufuno Orji*</t>
  </si>
  <si>
    <t>Kyla Morgan</t>
  </si>
  <si>
    <t>Zara Kavalieratos</t>
  </si>
  <si>
    <t>JP Roos</t>
  </si>
  <si>
    <t>Matthew Taylor</t>
  </si>
  <si>
    <t>Nicole Samuels*</t>
  </si>
  <si>
    <t>Robyn Andreka</t>
  </si>
  <si>
    <t>Nikkita Elliot</t>
  </si>
  <si>
    <t>Mae Alwahi</t>
  </si>
  <si>
    <t>Christopher Butcher</t>
  </si>
  <si>
    <t>Lara JVR</t>
  </si>
  <si>
    <t>Zoe W</t>
  </si>
  <si>
    <t>Josh Wegelar</t>
  </si>
  <si>
    <t>Nina Jacobs</t>
  </si>
  <si>
    <t>Mandy Duvenage</t>
  </si>
  <si>
    <t>Sheldon Botha</t>
  </si>
  <si>
    <t>Stephanie Payne</t>
  </si>
  <si>
    <t>PERM</t>
  </si>
  <si>
    <t>TEMP</t>
  </si>
  <si>
    <t>SMART4ENERGY</t>
  </si>
  <si>
    <t>SMART4CLOUD</t>
  </si>
  <si>
    <t>Rodney Govender</t>
  </si>
  <si>
    <t xml:space="preserve">Jesse van der Poel </t>
  </si>
  <si>
    <t xml:space="preserve">Tom Harding </t>
  </si>
  <si>
    <t xml:space="preserve">Max Goodger </t>
  </si>
  <si>
    <t>S4 TOTAL</t>
  </si>
  <si>
    <t>Q1 NFI ZAR</t>
  </si>
  <si>
    <t>Q1 NFI USD</t>
  </si>
  <si>
    <t>Q1 NFI GBP</t>
  </si>
  <si>
    <t>S4ENERGY</t>
  </si>
  <si>
    <t>S4CLOUD</t>
  </si>
  <si>
    <t>Thulfiq Brink</t>
  </si>
  <si>
    <t>Energy</t>
  </si>
  <si>
    <t>Cloud</t>
  </si>
  <si>
    <t>Nicole S.</t>
  </si>
  <si>
    <t>Kyla M.</t>
  </si>
  <si>
    <t>Cox</t>
  </si>
  <si>
    <t>Wes Etheridge</t>
  </si>
  <si>
    <t>L+G</t>
  </si>
  <si>
    <t>P2.0</t>
  </si>
  <si>
    <t>26%%</t>
  </si>
  <si>
    <t>20%%</t>
  </si>
  <si>
    <t>BANDS</t>
  </si>
  <si>
    <t>COMM.%</t>
  </si>
  <si>
    <t>Current US</t>
  </si>
  <si>
    <t>USD BANDS (US Based)</t>
  </si>
  <si>
    <t>ZAR BANDS (SA Based)</t>
  </si>
  <si>
    <t>ENERGY</t>
  </si>
  <si>
    <t>Multotech</t>
  </si>
  <si>
    <t>Amukelani Mashave</t>
  </si>
  <si>
    <t>Procurement Manager</t>
  </si>
  <si>
    <t>Lufuno O</t>
  </si>
  <si>
    <t>Warren B</t>
  </si>
  <si>
    <t>HOUSE ENERGY</t>
  </si>
  <si>
    <t>MAE A</t>
  </si>
  <si>
    <t>NIKITA E</t>
  </si>
  <si>
    <t>NINA J</t>
  </si>
  <si>
    <t>JOSH W</t>
  </si>
  <si>
    <t>Chris Butcher</t>
  </si>
  <si>
    <t>CONTRACT</t>
  </si>
  <si>
    <t>SMART4 ENERGY</t>
  </si>
  <si>
    <t>SMART4 CLOUD</t>
  </si>
  <si>
    <t>Steph Payne</t>
  </si>
  <si>
    <t>S4 Cloud</t>
  </si>
  <si>
    <t>S4 Energy</t>
  </si>
  <si>
    <t>12,5%</t>
  </si>
  <si>
    <t>New S4Cloud Bands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</si>
</sst>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R&quot;* #,##0.00_);_(&quot;R&quot;* \(#,##0.00\);_(&quot;R&quot;* &quot;-&quot;??_);_(@_)"/>
    <numFmt numFmtId="164" formatCode="_-[$R-1C09]* #,##0.00_-;\-[$R-1C09]* #,##0.00_-;_-[$R-1C09]* &quot;-&quot;??_-;_-@_-"/>
    <numFmt numFmtId="165" formatCode="[$-409]d\-mmm\-yyyy;@"/>
    <numFmt numFmtId="166" formatCode="_-[$R-1C09]* #,##0_-;\-[$R-1C09]* #,##0_-;_-[$R-1C09]* &quot;-&quot;??_-;_-@"/>
    <numFmt numFmtId="168" formatCode="[$-409]dd\-mmm\-yy;@"/>
    <numFmt numFmtId="169" formatCode="_-[$R-1C09]* #,##0_-;\-[$R-1C09]* #,##0_-;_-[$R-1C09]* &quot;-&quot;??_-;_-@_-"/>
    <numFmt numFmtId="170" formatCode="_(&quot;R&quot;* #,##0_);_(&quot;R&quot;* \(#,##0\);_(&quot;R&quot;* &quot;-&quot;??_);_(@_)"/>
    <numFmt numFmtId="172" formatCode="[$R]#,##0"/>
    <numFmt numFmtId="178" formatCode="_([$$-409]* #,##0_);_([$$-409]* \(#,##0\);_([$$-409]* &quot;-&quot;??_);_(@_)"/>
    <numFmt numFmtId="181" formatCode="_-[$£-809]* #,##0_-;\-[$£-809]* #,##0_-;_-[$£-809]* &quot;-&quot;??_-;_-@_-"/>
    <numFmt numFmtId="182" formatCode="_-[$R-1C09]* #,##0_-;\-[$R-1C09]* #,##0_-;_-[$R-1C09]* &quot;-&quot;_-;_-@"/>
    <numFmt numFmtId="184" formatCode="[$R-431]\ #,##0"/>
    <numFmt numFmtId="185" formatCode="[$£]#,##0"/>
    <numFmt numFmtId="186" formatCode="_([$$-540A]* #,##0_);_([$$-540A]* \(#,##0\);_([$$-540A]* &quot;-&quot;_);_(@_)"/>
    <numFmt numFmtId="188" formatCode="_-[$£-809]* #,##0.0_-;\-[$£-809]* #,##0.0_-;_-[$£-809]* &quot;-&quot;?_-;_-@_-"/>
    <numFmt numFmtId="189" formatCode="_([$$-540A]* #,##0.00_);_([$$-540A]* \(#,##0.00\);_([$$-540A]* &quot;-&quot;??_);_(@_)"/>
  </numFmts>
  <fonts count="3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00000"/>
      <name val="Aptos Narrow"/>
      <scheme val="minor"/>
    </font>
    <font>
      <b/>
      <sz val="14"/>
      <color theme="0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0"/>
      <name val="Aptos Narrow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ptos Display"/>
      <scheme val="major"/>
    </font>
    <font>
      <b/>
      <i/>
      <sz val="10"/>
      <color theme="1"/>
      <name val="Aptos Display"/>
      <scheme val="major"/>
    </font>
    <font>
      <b/>
      <sz val="10"/>
      <color rgb="FF000000"/>
      <name val="Aptos Display"/>
      <scheme val="major"/>
    </font>
    <font>
      <sz val="10"/>
      <color theme="1"/>
      <name val="Aptos Display"/>
      <scheme val="major"/>
    </font>
    <font>
      <sz val="10"/>
      <color rgb="FF000000"/>
      <name val="Aptos Display"/>
      <scheme val="major"/>
    </font>
    <font>
      <sz val="10"/>
      <color rgb="FF181818"/>
      <name val="Aptos Display"/>
      <scheme val="major"/>
    </font>
    <font>
      <sz val="10"/>
      <color rgb="FF333333"/>
      <name val="Aptos Display"/>
      <scheme val="major"/>
    </font>
    <font>
      <sz val="10"/>
      <name val="Aptos Display"/>
      <scheme val="major"/>
    </font>
    <font>
      <sz val="8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ptos Narrow"/>
      <scheme val="minor"/>
    </font>
    <font>
      <b/>
      <sz val="11"/>
      <color rgb="FFFFFF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theme="1"/>
      </patternFill>
    </fill>
    <fill>
      <patternFill patternType="solid">
        <fgColor theme="0"/>
        <bgColor rgb="FF75707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75707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rgb="FFBFBFBF"/>
      </patternFill>
    </fill>
    <fill>
      <patternFill patternType="solid">
        <fgColor rgb="FFFF000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BFBFBF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9">
    <xf numFmtId="0" fontId="0" fillId="0" borderId="0" xfId="0"/>
    <xf numFmtId="0" fontId="4" fillId="0" borderId="0" xfId="0" applyFont="1"/>
    <xf numFmtId="0" fontId="4" fillId="2" borderId="0" xfId="0" applyFont="1" applyFill="1"/>
    <xf numFmtId="0" fontId="5" fillId="3" borderId="1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0" fontId="4" fillId="5" borderId="0" xfId="0" applyFont="1" applyFill="1"/>
    <xf numFmtId="0" fontId="4" fillId="6" borderId="0" xfId="0" applyFont="1" applyFill="1"/>
    <xf numFmtId="164" fontId="5" fillId="7" borderId="4" xfId="0" applyNumberFormat="1" applyFont="1" applyFill="1" applyBorder="1" applyAlignment="1">
      <alignment horizontal="center" vertical="center"/>
    </xf>
    <xf numFmtId="15" fontId="5" fillId="3" borderId="3" xfId="0" applyNumberFormat="1" applyFont="1" applyFill="1" applyBorder="1" applyAlignment="1">
      <alignment horizontal="center" vertical="center"/>
    </xf>
    <xf numFmtId="2" fontId="5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right" vertical="center"/>
    </xf>
    <xf numFmtId="16" fontId="5" fillId="3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164" fontId="5" fillId="3" borderId="15" xfId="0" applyNumberFormat="1" applyFont="1" applyFill="1" applyBorder="1"/>
    <xf numFmtId="0" fontId="2" fillId="3" borderId="9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left"/>
    </xf>
    <xf numFmtId="0" fontId="5" fillId="0" borderId="1" xfId="0" applyFont="1" applyBorder="1"/>
    <xf numFmtId="164" fontId="5" fillId="0" borderId="1" xfId="0" applyNumberFormat="1" applyFont="1" applyBorder="1"/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right"/>
    </xf>
    <xf numFmtId="0" fontId="2" fillId="3" borderId="3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5" fontId="5" fillId="3" borderId="3" xfId="0" applyNumberFormat="1" applyFont="1" applyFill="1" applyBorder="1" applyAlignment="1">
      <alignment horizontal="center"/>
    </xf>
    <xf numFmtId="164" fontId="5" fillId="3" borderId="10" xfId="0" applyNumberFormat="1" applyFont="1" applyFill="1" applyBorder="1" applyAlignment="1">
      <alignment horizontal="center" vertical="center"/>
    </xf>
    <xf numFmtId="164" fontId="5" fillId="0" borderId="1" xfId="1" applyNumberFormat="1" applyFont="1" applyBorder="1"/>
    <xf numFmtId="164" fontId="5" fillId="3" borderId="3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65" fontId="5" fillId="3" borderId="3" xfId="0" applyNumberFormat="1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164" fontId="5" fillId="3" borderId="9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3" borderId="3" xfId="0" applyNumberFormat="1" applyFont="1" applyFill="1" applyBorder="1" applyAlignment="1">
      <alignment horizontal="right"/>
    </xf>
    <xf numFmtId="10" fontId="5" fillId="3" borderId="3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164" fontId="6" fillId="3" borderId="9" xfId="0" applyNumberFormat="1" applyFont="1" applyFill="1" applyBorder="1" applyAlignment="1">
      <alignment horizontal="center"/>
    </xf>
    <xf numFmtId="164" fontId="5" fillId="3" borderId="3" xfId="0" applyNumberFormat="1" applyFont="1" applyFill="1" applyBorder="1"/>
    <xf numFmtId="0" fontId="2" fillId="3" borderId="10" xfId="0" applyFont="1" applyFill="1" applyBorder="1" applyAlignment="1">
      <alignment horizontal="center"/>
    </xf>
    <xf numFmtId="164" fontId="6" fillId="3" borderId="16" xfId="0" applyNumberFormat="1" applyFont="1" applyFill="1" applyBorder="1" applyAlignment="1">
      <alignment horizontal="center"/>
    </xf>
    <xf numFmtId="164" fontId="5" fillId="3" borderId="8" xfId="0" applyNumberFormat="1" applyFont="1" applyFill="1" applyBorder="1"/>
    <xf numFmtId="165" fontId="5" fillId="3" borderId="9" xfId="0" applyNumberFormat="1" applyFont="1" applyFill="1" applyBorder="1" applyAlignment="1">
      <alignment horizontal="center"/>
    </xf>
    <xf numFmtId="164" fontId="6" fillId="3" borderId="3" xfId="1" applyNumberFormat="1" applyFont="1" applyFill="1" applyBorder="1" applyAlignment="1">
      <alignment horizontal="center" vertical="center"/>
    </xf>
    <xf numFmtId="164" fontId="6" fillId="3" borderId="4" xfId="1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164" fontId="5" fillId="3" borderId="10" xfId="0" applyNumberFormat="1" applyFont="1" applyFill="1" applyBorder="1" applyAlignment="1">
      <alignment horizontal="right"/>
    </xf>
    <xf numFmtId="164" fontId="5" fillId="3" borderId="10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right"/>
    </xf>
    <xf numFmtId="0" fontId="5" fillId="3" borderId="1" xfId="0" applyFont="1" applyFill="1" applyBorder="1"/>
    <xf numFmtId="165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/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left"/>
    </xf>
    <xf numFmtId="164" fontId="5" fillId="0" borderId="12" xfId="0" applyNumberFormat="1" applyFont="1" applyBorder="1"/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center"/>
    </xf>
    <xf numFmtId="164" fontId="5" fillId="0" borderId="0" xfId="0" applyNumberFormat="1" applyFont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164" fontId="5" fillId="0" borderId="18" xfId="0" applyNumberFormat="1" applyFont="1" applyBorder="1" applyAlignment="1">
      <alignment horizontal="right"/>
    </xf>
    <xf numFmtId="0" fontId="5" fillId="0" borderId="18" xfId="0" applyFont="1" applyBorder="1"/>
    <xf numFmtId="165" fontId="5" fillId="0" borderId="18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164" fontId="5" fillId="0" borderId="18" xfId="0" applyNumberFormat="1" applyFont="1" applyBorder="1"/>
    <xf numFmtId="0" fontId="4" fillId="0" borderId="18" xfId="0" applyFont="1" applyBorder="1"/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7" fontId="5" fillId="3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9" fontId="5" fillId="3" borderId="3" xfId="2" applyFont="1" applyFill="1" applyBorder="1" applyAlignment="1">
      <alignment horizontal="center" vertical="center"/>
    </xf>
    <xf numFmtId="168" fontId="5" fillId="3" borderId="3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top"/>
    </xf>
    <xf numFmtId="9" fontId="5" fillId="3" borderId="3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4" fontId="5" fillId="3" borderId="13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15" fontId="5" fillId="3" borderId="9" xfId="0" applyNumberFormat="1" applyFont="1" applyFill="1" applyBorder="1" applyAlignment="1">
      <alignment horizontal="center"/>
    </xf>
    <xf numFmtId="10" fontId="5" fillId="3" borderId="9" xfId="0" applyNumberFormat="1" applyFont="1" applyFill="1" applyBorder="1" applyAlignment="1">
      <alignment horizontal="center"/>
    </xf>
    <xf numFmtId="169" fontId="0" fillId="0" borderId="1" xfId="0" applyNumberFormat="1" applyBorder="1"/>
    <xf numFmtId="0" fontId="9" fillId="9" borderId="1" xfId="0" applyFont="1" applyFill="1" applyBorder="1" applyAlignment="1">
      <alignment horizontal="right"/>
    </xf>
    <xf numFmtId="0" fontId="10" fillId="10" borderId="1" xfId="0" applyFont="1" applyFill="1" applyBorder="1" applyAlignment="1">
      <alignment horizontal="center"/>
    </xf>
    <xf numFmtId="0" fontId="11" fillId="0" borderId="0" xfId="0" applyFont="1"/>
    <xf numFmtId="0" fontId="9" fillId="3" borderId="0" xfId="0" applyFont="1" applyFill="1" applyBorder="1" applyAlignment="1">
      <alignment horizontal="right"/>
    </xf>
    <xf numFmtId="0" fontId="10" fillId="3" borderId="0" xfId="0" applyFont="1" applyFill="1" applyBorder="1" applyAlignment="1">
      <alignment horizontal="center"/>
    </xf>
    <xf numFmtId="0" fontId="11" fillId="3" borderId="0" xfId="0" applyFont="1" applyFill="1"/>
    <xf numFmtId="0" fontId="9" fillId="11" borderId="0" xfId="0" applyFont="1" applyFill="1" applyAlignment="1">
      <alignment horizontal="center"/>
    </xf>
    <xf numFmtId="0" fontId="12" fillId="11" borderId="0" xfId="0" applyFont="1" applyFill="1"/>
    <xf numFmtId="0" fontId="9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right"/>
    </xf>
    <xf numFmtId="178" fontId="11" fillId="0" borderId="1" xfId="0" applyNumberFormat="1" applyFont="1" applyBorder="1"/>
    <xf numFmtId="0" fontId="11" fillId="0" borderId="1" xfId="0" applyFont="1" applyBorder="1"/>
    <xf numFmtId="178" fontId="12" fillId="9" borderId="1" xfId="0" applyNumberFormat="1" applyFont="1" applyFill="1" applyBorder="1"/>
    <xf numFmtId="0" fontId="12" fillId="9" borderId="1" xfId="0" applyFont="1" applyFill="1" applyBorder="1"/>
    <xf numFmtId="178" fontId="9" fillId="9" borderId="1" xfId="1" applyNumberFormat="1" applyFont="1" applyFill="1" applyBorder="1"/>
    <xf numFmtId="169" fontId="9" fillId="9" borderId="1" xfId="0" applyNumberFormat="1" applyFont="1" applyFill="1" applyBorder="1"/>
    <xf numFmtId="178" fontId="9" fillId="9" borderId="1" xfId="0" applyNumberFormat="1" applyFont="1" applyFill="1" applyBorder="1"/>
    <xf numFmtId="0" fontId="9" fillId="9" borderId="1" xfId="0" applyFont="1" applyFill="1" applyBorder="1"/>
    <xf numFmtId="181" fontId="11" fillId="0" borderId="1" xfId="0" applyNumberFormat="1" applyFont="1" applyBorder="1"/>
    <xf numFmtId="181" fontId="12" fillId="9" borderId="1" xfId="0" applyNumberFormat="1" applyFont="1" applyFill="1" applyBorder="1"/>
    <xf numFmtId="181" fontId="9" fillId="9" borderId="1" xfId="0" applyNumberFormat="1" applyFont="1" applyFill="1" applyBorder="1"/>
    <xf numFmtId="169" fontId="11" fillId="0" borderId="1" xfId="0" applyNumberFormat="1" applyFont="1" applyBorder="1"/>
    <xf numFmtId="169" fontId="12" fillId="9" borderId="1" xfId="0" applyNumberFormat="1" applyFont="1" applyFill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12" borderId="14" xfId="0" applyFont="1" applyFill="1" applyBorder="1" applyAlignment="1">
      <alignment horizontal="center" vertical="center"/>
    </xf>
    <xf numFmtId="0" fontId="13" fillId="12" borderId="14" xfId="0" applyFont="1" applyFill="1" applyBorder="1" applyAlignment="1">
      <alignment horizontal="center" vertical="center" wrapText="1"/>
    </xf>
    <xf numFmtId="0" fontId="14" fillId="13" borderId="13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6" fillId="3" borderId="0" xfId="0" applyFont="1" applyFill="1"/>
    <xf numFmtId="0" fontId="16" fillId="0" borderId="0" xfId="0" applyFont="1"/>
    <xf numFmtId="0" fontId="16" fillId="15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6" fillId="11" borderId="19" xfId="0" applyFont="1" applyFill="1" applyBorder="1"/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/>
    <xf numFmtId="0" fontId="16" fillId="12" borderId="1" xfId="0" applyFont="1" applyFill="1" applyBorder="1" applyAlignment="1">
      <alignment horizontal="center" vertical="center"/>
    </xf>
    <xf numFmtId="0" fontId="16" fillId="13" borderId="20" xfId="0" applyFont="1" applyFill="1" applyBorder="1" applyAlignment="1">
      <alignment horizontal="center" vertical="center"/>
    </xf>
    <xf numFmtId="0" fontId="16" fillId="0" borderId="20" xfId="0" applyFont="1" applyBorder="1"/>
    <xf numFmtId="0" fontId="16" fillId="13" borderId="21" xfId="0" applyFont="1" applyFill="1" applyBorder="1" applyAlignment="1">
      <alignment horizontal="center" vertical="center"/>
    </xf>
    <xf numFmtId="0" fontId="16" fillId="0" borderId="21" xfId="0" applyFont="1" applyBorder="1"/>
    <xf numFmtId="0" fontId="16" fillId="13" borderId="0" xfId="0" applyFont="1" applyFill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13" borderId="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8" fillId="0" borderId="8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3" borderId="18" xfId="0" applyFont="1" applyFill="1" applyBorder="1"/>
    <xf numFmtId="0" fontId="16" fillId="0" borderId="18" xfId="0" applyFont="1" applyBorder="1"/>
    <xf numFmtId="0" fontId="13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70" fontId="16" fillId="0" borderId="1" xfId="1" applyNumberFormat="1" applyFont="1" applyBorder="1"/>
    <xf numFmtId="0" fontId="13" fillId="3" borderId="12" xfId="0" applyFont="1" applyFill="1" applyBorder="1" applyAlignment="1">
      <alignment horizontal="center" vertical="center"/>
    </xf>
    <xf numFmtId="172" fontId="16" fillId="3" borderId="12" xfId="0" applyNumberFormat="1" applyFont="1" applyFill="1" applyBorder="1" applyAlignment="1">
      <alignment horizontal="center" vertical="center"/>
    </xf>
    <xf numFmtId="172" fontId="16" fillId="3" borderId="12" xfId="0" applyNumberFormat="1" applyFont="1" applyFill="1" applyBorder="1" applyAlignment="1">
      <alignment horizontal="right" vertical="center"/>
    </xf>
    <xf numFmtId="0" fontId="16" fillId="3" borderId="12" xfId="0" applyFont="1" applyFill="1" applyBorder="1"/>
    <xf numFmtId="0" fontId="13" fillId="0" borderId="26" xfId="0" applyFont="1" applyBorder="1" applyAlignment="1">
      <alignment horizontal="center" vertical="center"/>
    </xf>
    <xf numFmtId="0" fontId="17" fillId="3" borderId="1" xfId="0" quotePrefix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11" borderId="1" xfId="0" applyFont="1" applyFill="1" applyBorder="1"/>
    <xf numFmtId="170" fontId="16" fillId="0" borderId="1" xfId="1" applyNumberFormat="1" applyFont="1" applyBorder="1" applyAlignment="1">
      <alignment horizontal="right"/>
    </xf>
    <xf numFmtId="0" fontId="16" fillId="0" borderId="0" xfId="0" applyFont="1" applyAlignment="1">
      <alignment horizontal="center"/>
    </xf>
    <xf numFmtId="0" fontId="16" fillId="3" borderId="27" xfId="0" applyFont="1" applyFill="1" applyBorder="1"/>
    <xf numFmtId="0" fontId="16" fillId="3" borderId="27" xfId="0" applyFont="1" applyFill="1" applyBorder="1" applyAlignment="1">
      <alignment horizontal="center"/>
    </xf>
    <xf numFmtId="0" fontId="16" fillId="3" borderId="27" xfId="0" applyFont="1" applyFill="1" applyBorder="1" applyAlignment="1">
      <alignment horizontal="center" vertical="center"/>
    </xf>
    <xf numFmtId="0" fontId="17" fillId="3" borderId="27" xfId="0" quotePrefix="1" applyFont="1" applyFill="1" applyBorder="1" applyAlignment="1">
      <alignment horizontal="center" vertical="center"/>
    </xf>
    <xf numFmtId="0" fontId="13" fillId="16" borderId="27" xfId="0" applyFont="1" applyFill="1" applyBorder="1" applyAlignment="1">
      <alignment horizontal="center" vertical="center"/>
    </xf>
    <xf numFmtId="0" fontId="19" fillId="3" borderId="27" xfId="0" applyFont="1" applyFill="1" applyBorder="1"/>
    <xf numFmtId="0" fontId="16" fillId="0" borderId="27" xfId="0" applyFont="1" applyBorder="1" applyAlignment="1">
      <alignment horizontal="center" vertical="center"/>
    </xf>
    <xf numFmtId="0" fontId="16" fillId="11" borderId="27" xfId="0" applyFont="1" applyFill="1" applyBorder="1"/>
    <xf numFmtId="0" fontId="16" fillId="0" borderId="27" xfId="0" applyFont="1" applyBorder="1"/>
    <xf numFmtId="0" fontId="16" fillId="0" borderId="27" xfId="0" applyFont="1" applyBorder="1" applyAlignment="1">
      <alignment horizontal="right"/>
    </xf>
    <xf numFmtId="0" fontId="16" fillId="3" borderId="0" xfId="0" applyFont="1" applyFill="1" applyAlignment="1">
      <alignment horizontal="center"/>
    </xf>
    <xf numFmtId="0" fontId="17" fillId="3" borderId="0" xfId="0" quotePrefix="1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19" fillId="3" borderId="0" xfId="0" applyFont="1" applyFill="1"/>
    <xf numFmtId="0" fontId="16" fillId="11" borderId="0" xfId="0" applyFont="1" applyFill="1"/>
    <xf numFmtId="0" fontId="16" fillId="0" borderId="0" xfId="0" applyFont="1" applyAlignment="1">
      <alignment horizontal="right"/>
    </xf>
    <xf numFmtId="0" fontId="13" fillId="3" borderId="0" xfId="0" applyFont="1" applyFill="1" applyAlignment="1">
      <alignment horizontal="center" vertical="center"/>
    </xf>
    <xf numFmtId="0" fontId="13" fillId="3" borderId="18" xfId="0" applyFont="1" applyFill="1" applyBorder="1" applyAlignment="1">
      <alignment vertical="center"/>
    </xf>
    <xf numFmtId="0" fontId="16" fillId="3" borderId="18" xfId="0" applyFont="1" applyFill="1" applyBorder="1" applyAlignment="1">
      <alignment horizontal="center" vertical="center"/>
    </xf>
    <xf numFmtId="181" fontId="16" fillId="3" borderId="18" xfId="0" applyNumberFormat="1" applyFont="1" applyFill="1" applyBorder="1" applyAlignment="1">
      <alignment horizontal="center" vertical="center"/>
    </xf>
    <xf numFmtId="184" fontId="16" fillId="3" borderId="18" xfId="0" applyNumberFormat="1" applyFont="1" applyFill="1" applyBorder="1" applyAlignment="1">
      <alignment horizontal="center" vertical="center"/>
    </xf>
    <xf numFmtId="172" fontId="13" fillId="0" borderId="24" xfId="0" applyNumberFormat="1" applyFont="1" applyBorder="1" applyAlignment="1">
      <alignment horizontal="right" vertical="center"/>
    </xf>
    <xf numFmtId="185" fontId="13" fillId="0" borderId="24" xfId="0" applyNumberFormat="1" applyFont="1" applyBorder="1" applyAlignment="1">
      <alignment horizontal="center" vertical="center"/>
    </xf>
    <xf numFmtId="0" fontId="13" fillId="13" borderId="28" xfId="0" applyFont="1" applyFill="1" applyBorder="1" applyAlignment="1">
      <alignment horizontal="center" vertical="center"/>
    </xf>
    <xf numFmtId="172" fontId="16" fillId="3" borderId="24" xfId="0" applyNumberFormat="1" applyFont="1" applyFill="1" applyBorder="1" applyAlignment="1">
      <alignment horizontal="center" vertical="center"/>
    </xf>
    <xf numFmtId="172" fontId="16" fillId="3" borderId="24" xfId="0" applyNumberFormat="1" applyFont="1" applyFill="1" applyBorder="1" applyAlignment="1">
      <alignment horizontal="right" vertical="center"/>
    </xf>
    <xf numFmtId="181" fontId="16" fillId="3" borderId="0" xfId="0" applyNumberFormat="1" applyFont="1" applyFill="1" applyAlignment="1">
      <alignment horizontal="center" vertical="center"/>
    </xf>
    <xf numFmtId="184" fontId="16" fillId="3" borderId="0" xfId="0" applyNumberFormat="1" applyFont="1" applyFill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172" fontId="13" fillId="0" borderId="1" xfId="0" applyNumberFormat="1" applyFont="1" applyBorder="1" applyAlignment="1">
      <alignment horizontal="right" vertical="center"/>
    </xf>
    <xf numFmtId="185" fontId="13" fillId="0" borderId="1" xfId="0" applyNumberFormat="1" applyFont="1" applyBorder="1" applyAlignment="1">
      <alignment horizontal="center" vertical="center"/>
    </xf>
    <xf numFmtId="0" fontId="13" fillId="13" borderId="7" xfId="0" applyFont="1" applyFill="1" applyBorder="1" applyAlignment="1">
      <alignment horizontal="center" vertical="center"/>
    </xf>
    <xf numFmtId="172" fontId="16" fillId="3" borderId="1" xfId="0" applyNumberFormat="1" applyFont="1" applyFill="1" applyBorder="1" applyAlignment="1">
      <alignment horizontal="center" vertical="center"/>
    </xf>
    <xf numFmtId="172" fontId="16" fillId="3" borderId="1" xfId="0" applyNumberFormat="1" applyFont="1" applyFill="1" applyBorder="1" applyAlignment="1">
      <alignment horizontal="right" vertical="center"/>
    </xf>
    <xf numFmtId="0" fontId="20" fillId="0" borderId="12" xfId="0" applyFont="1" applyBorder="1" applyAlignment="1">
      <alignment horizontal="center"/>
    </xf>
    <xf numFmtId="172" fontId="13" fillId="0" borderId="12" xfId="0" applyNumberFormat="1" applyFont="1" applyBorder="1" applyAlignment="1">
      <alignment horizontal="right" vertical="center"/>
    </xf>
    <xf numFmtId="185" fontId="13" fillId="0" borderId="12" xfId="0" applyNumberFormat="1" applyFont="1" applyBorder="1" applyAlignment="1">
      <alignment horizontal="center" vertical="center"/>
    </xf>
    <xf numFmtId="0" fontId="13" fillId="13" borderId="23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/>
    </xf>
    <xf numFmtId="0" fontId="13" fillId="3" borderId="24" xfId="0" applyFont="1" applyFill="1" applyBorder="1" applyAlignment="1">
      <alignment horizontal="center" vertical="center"/>
    </xf>
    <xf numFmtId="9" fontId="16" fillId="3" borderId="1" xfId="0" applyNumberFormat="1" applyFont="1" applyFill="1" applyBorder="1" applyAlignment="1">
      <alignment horizontal="center" vertical="center"/>
    </xf>
    <xf numFmtId="172" fontId="13" fillId="0" borderId="26" xfId="0" applyNumberFormat="1" applyFont="1" applyBorder="1" applyAlignment="1">
      <alignment horizontal="right" vertical="center"/>
    </xf>
    <xf numFmtId="185" fontId="13" fillId="0" borderId="26" xfId="0" applyNumberFormat="1" applyFont="1" applyBorder="1" applyAlignment="1">
      <alignment horizontal="center" vertical="center"/>
    </xf>
    <xf numFmtId="0" fontId="16" fillId="13" borderId="28" xfId="0" applyFont="1" applyFill="1" applyBorder="1" applyAlignment="1">
      <alignment horizontal="center" vertical="center"/>
    </xf>
    <xf numFmtId="172" fontId="16" fillId="3" borderId="26" xfId="0" applyNumberFormat="1" applyFont="1" applyFill="1" applyBorder="1" applyAlignment="1">
      <alignment horizontal="center" vertical="center"/>
    </xf>
    <xf numFmtId="0" fontId="16" fillId="13" borderId="7" xfId="0" applyFont="1" applyFill="1" applyBorder="1" applyAlignment="1">
      <alignment horizontal="center" vertical="center"/>
    </xf>
    <xf numFmtId="0" fontId="16" fillId="13" borderId="23" xfId="0" applyFont="1" applyFill="1" applyBorder="1" applyAlignment="1">
      <alignment horizontal="center" vertical="center"/>
    </xf>
    <xf numFmtId="0" fontId="16" fillId="18" borderId="0" xfId="0" applyFont="1" applyFill="1"/>
    <xf numFmtId="0" fontId="13" fillId="3" borderId="0" xfId="0" applyFont="1" applyFill="1" applyAlignment="1">
      <alignment horizontal="center" vertical="center"/>
    </xf>
    <xf numFmtId="172" fontId="13" fillId="3" borderId="24" xfId="0" applyNumberFormat="1" applyFont="1" applyFill="1" applyBorder="1" applyAlignment="1">
      <alignment horizontal="right" vertical="center"/>
    </xf>
    <xf numFmtId="0" fontId="16" fillId="3" borderId="0" xfId="0" applyFont="1" applyFill="1"/>
    <xf numFmtId="172" fontId="16" fillId="19" borderId="1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72" fontId="13" fillId="0" borderId="24" xfId="0" applyNumberFormat="1" applyFont="1" applyBorder="1" applyAlignment="1">
      <alignment horizontal="center" vertical="center"/>
    </xf>
    <xf numFmtId="0" fontId="13" fillId="13" borderId="18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right" vertical="center"/>
    </xf>
    <xf numFmtId="0" fontId="13" fillId="0" borderId="18" xfId="0" applyFont="1" applyBorder="1"/>
    <xf numFmtId="0" fontId="13" fillId="3" borderId="18" xfId="0" applyFont="1" applyFill="1" applyBorder="1"/>
    <xf numFmtId="0" fontId="16" fillId="5" borderId="0" xfId="0" applyFont="1" applyFill="1" applyAlignment="1">
      <alignment horizontal="center" vertical="center"/>
    </xf>
    <xf numFmtId="0" fontId="16" fillId="20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right" vertical="center"/>
    </xf>
    <xf numFmtId="0" fontId="16" fillId="5" borderId="0" xfId="0" applyFont="1" applyFill="1"/>
    <xf numFmtId="172" fontId="13" fillId="3" borderId="24" xfId="0" applyNumberFormat="1" applyFont="1" applyFill="1" applyBorder="1" applyAlignment="1">
      <alignment horizontal="center" vertical="center"/>
    </xf>
    <xf numFmtId="185" fontId="13" fillId="3" borderId="24" xfId="0" applyNumberFormat="1" applyFont="1" applyFill="1" applyBorder="1" applyAlignment="1">
      <alignment horizontal="center" vertical="center"/>
    </xf>
    <xf numFmtId="170" fontId="16" fillId="3" borderId="24" xfId="1" applyNumberFormat="1" applyFont="1" applyFill="1" applyBorder="1" applyAlignment="1">
      <alignment horizontal="center" vertical="center"/>
    </xf>
    <xf numFmtId="170" fontId="16" fillId="3" borderId="24" xfId="1" applyNumberFormat="1" applyFont="1" applyFill="1" applyBorder="1" applyAlignment="1">
      <alignment horizontal="right" vertical="center"/>
    </xf>
    <xf numFmtId="172" fontId="13" fillId="3" borderId="1" xfId="0" applyNumberFormat="1" applyFont="1" applyFill="1" applyBorder="1" applyAlignment="1">
      <alignment horizontal="center" vertical="center"/>
    </xf>
    <xf numFmtId="185" fontId="13" fillId="3" borderId="1" xfId="0" applyNumberFormat="1" applyFont="1" applyFill="1" applyBorder="1" applyAlignment="1">
      <alignment horizontal="center" vertical="center"/>
    </xf>
    <xf numFmtId="170" fontId="16" fillId="3" borderId="1" xfId="1" applyNumberFormat="1" applyFont="1" applyFill="1" applyBorder="1" applyAlignment="1">
      <alignment horizontal="center" vertical="center"/>
    </xf>
    <xf numFmtId="170" fontId="16" fillId="3" borderId="1" xfId="1" applyNumberFormat="1" applyFont="1" applyFill="1" applyBorder="1" applyAlignment="1">
      <alignment horizontal="right" vertical="center"/>
    </xf>
    <xf numFmtId="172" fontId="13" fillId="3" borderId="12" xfId="0" applyNumberFormat="1" applyFont="1" applyFill="1" applyBorder="1" applyAlignment="1">
      <alignment horizontal="center" vertical="center"/>
    </xf>
    <xf numFmtId="185" fontId="13" fillId="3" borderId="12" xfId="0" applyNumberFormat="1" applyFont="1" applyFill="1" applyBorder="1" applyAlignment="1">
      <alignment horizontal="center" vertical="center"/>
    </xf>
    <xf numFmtId="170" fontId="16" fillId="3" borderId="12" xfId="1" applyNumberFormat="1" applyFont="1" applyFill="1" applyBorder="1" applyAlignment="1">
      <alignment horizontal="center" vertical="center"/>
    </xf>
    <xf numFmtId="170" fontId="16" fillId="3" borderId="12" xfId="1" applyNumberFormat="1" applyFont="1" applyFill="1" applyBorder="1" applyAlignment="1">
      <alignment horizontal="right" vertical="center"/>
    </xf>
    <xf numFmtId="0" fontId="16" fillId="3" borderId="18" xfId="0" applyFont="1" applyFill="1" applyBorder="1" applyAlignment="1">
      <alignment horizontal="center"/>
    </xf>
    <xf numFmtId="0" fontId="16" fillId="11" borderId="23" xfId="0" applyFont="1" applyFill="1" applyBorder="1" applyAlignment="1">
      <alignment horizontal="center" vertical="center"/>
    </xf>
    <xf numFmtId="170" fontId="16" fillId="3" borderId="25" xfId="1" applyNumberFormat="1" applyFont="1" applyFill="1" applyBorder="1" applyAlignment="1">
      <alignment horizontal="center" vertical="center"/>
    </xf>
    <xf numFmtId="170" fontId="16" fillId="3" borderId="29" xfId="1" applyNumberFormat="1" applyFont="1" applyFill="1" applyBorder="1" applyAlignment="1">
      <alignment horizontal="center" vertical="center"/>
    </xf>
    <xf numFmtId="0" fontId="16" fillId="11" borderId="28" xfId="0" applyFont="1" applyFill="1" applyBorder="1" applyAlignment="1">
      <alignment horizontal="center" vertical="center"/>
    </xf>
    <xf numFmtId="170" fontId="16" fillId="3" borderId="26" xfId="1" applyNumberFormat="1" applyFont="1" applyFill="1" applyBorder="1" applyAlignment="1">
      <alignment horizontal="center" vertical="center"/>
    </xf>
    <xf numFmtId="170" fontId="16" fillId="3" borderId="22" xfId="1" applyNumberFormat="1" applyFont="1" applyFill="1" applyBorder="1" applyAlignment="1">
      <alignment horizontal="center" vertical="center"/>
    </xf>
    <xf numFmtId="170" fontId="16" fillId="3" borderId="30" xfId="1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/>
    </xf>
    <xf numFmtId="0" fontId="13" fillId="0" borderId="26" xfId="0" applyFont="1" applyBorder="1"/>
    <xf numFmtId="172" fontId="13" fillId="0" borderId="26" xfId="0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0" fontId="13" fillId="11" borderId="18" xfId="0" applyFont="1" applyFill="1" applyBorder="1"/>
    <xf numFmtId="0" fontId="13" fillId="0" borderId="18" xfId="0" applyFont="1" applyBorder="1" applyAlignment="1">
      <alignment horizontal="right"/>
    </xf>
    <xf numFmtId="0" fontId="13" fillId="0" borderId="0" xfId="0" applyFont="1"/>
    <xf numFmtId="0" fontId="16" fillId="5" borderId="18" xfId="0" applyFont="1" applyFill="1" applyBorder="1"/>
    <xf numFmtId="0" fontId="16" fillId="5" borderId="18" xfId="0" applyFont="1" applyFill="1" applyBorder="1" applyAlignment="1">
      <alignment horizontal="center"/>
    </xf>
    <xf numFmtId="0" fontId="16" fillId="5" borderId="18" xfId="0" applyFont="1" applyFill="1" applyBorder="1" applyAlignment="1">
      <alignment horizontal="right"/>
    </xf>
    <xf numFmtId="0" fontId="16" fillId="11" borderId="7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/>
    </xf>
    <xf numFmtId="0" fontId="13" fillId="0" borderId="24" xfId="0" applyFont="1" applyBorder="1"/>
    <xf numFmtId="181" fontId="13" fillId="0" borderId="24" xfId="0" applyNumberFormat="1" applyFont="1" applyBorder="1" applyAlignment="1">
      <alignment horizontal="center" vertical="center"/>
    </xf>
    <xf numFmtId="0" fontId="13" fillId="0" borderId="24" xfId="0" applyFont="1" applyBorder="1" applyAlignment="1">
      <alignment horizontal="center"/>
    </xf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/>
    <xf numFmtId="0" fontId="5" fillId="3" borderId="0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3" fillId="0" borderId="0" xfId="0" applyFont="1"/>
    <xf numFmtId="0" fontId="23" fillId="0" borderId="0" xfId="0" applyFont="1" applyAlignment="1">
      <alignment horizontal="center"/>
    </xf>
    <xf numFmtId="169" fontId="22" fillId="21" borderId="1" xfId="0" applyNumberFormat="1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21" fillId="22" borderId="1" xfId="0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170" fontId="24" fillId="22" borderId="1" xfId="0" applyNumberFormat="1" applyFont="1" applyFill="1" applyBorder="1"/>
    <xf numFmtId="0" fontId="24" fillId="22" borderId="1" xfId="0" applyFont="1" applyFill="1" applyBorder="1"/>
    <xf numFmtId="169" fontId="24" fillId="22" borderId="1" xfId="0" applyNumberFormat="1" applyFont="1" applyFill="1" applyBorder="1"/>
    <xf numFmtId="0" fontId="21" fillId="22" borderId="1" xfId="0" applyFont="1" applyFill="1" applyBorder="1"/>
    <xf numFmtId="9" fontId="22" fillId="0" borderId="1" xfId="2" applyFont="1" applyBorder="1" applyAlignment="1">
      <alignment horizontal="center"/>
    </xf>
    <xf numFmtId="9" fontId="24" fillId="22" borderId="1" xfId="2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186" fontId="22" fillId="0" borderId="1" xfId="0" applyNumberFormat="1" applyFont="1" applyBorder="1"/>
    <xf numFmtId="186" fontId="24" fillId="22" borderId="1" xfId="0" applyNumberFormat="1" applyFont="1" applyFill="1" applyBorder="1"/>
    <xf numFmtId="181" fontId="22" fillId="0" borderId="1" xfId="0" applyNumberFormat="1" applyFont="1" applyBorder="1"/>
    <xf numFmtId="181" fontId="24" fillId="22" borderId="1" xfId="0" applyNumberFormat="1" applyFont="1" applyFill="1" applyBorder="1"/>
    <xf numFmtId="188" fontId="0" fillId="0" borderId="0" xfId="0" applyNumberFormat="1"/>
    <xf numFmtId="0" fontId="22" fillId="0" borderId="0" xfId="0" applyFont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  <xf numFmtId="15" fontId="6" fillId="3" borderId="10" xfId="0" applyNumberFormat="1" applyFont="1" applyFill="1" applyBorder="1" applyAlignment="1">
      <alignment horizontal="center"/>
    </xf>
    <xf numFmtId="165" fontId="6" fillId="3" borderId="10" xfId="0" applyNumberFormat="1" applyFont="1" applyFill="1" applyBorder="1" applyAlignment="1">
      <alignment horizontal="center"/>
    </xf>
    <xf numFmtId="10" fontId="6" fillId="3" borderId="10" xfId="0" applyNumberFormat="1" applyFont="1" applyFill="1" applyBorder="1" applyAlignment="1">
      <alignment horizontal="center"/>
    </xf>
    <xf numFmtId="164" fontId="6" fillId="3" borderId="15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15" fontId="6" fillId="3" borderId="1" xfId="0" applyNumberFormat="1" applyFont="1" applyFill="1" applyBorder="1" applyAlignment="1">
      <alignment horizontal="center"/>
    </xf>
    <xf numFmtId="164" fontId="6" fillId="3" borderId="1" xfId="1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10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vertical="center"/>
    </xf>
    <xf numFmtId="0" fontId="4" fillId="3" borderId="0" xfId="0" applyFont="1" applyFill="1"/>
    <xf numFmtId="0" fontId="4" fillId="3" borderId="18" xfId="0" applyFont="1" applyFill="1" applyBorder="1"/>
    <xf numFmtId="17" fontId="5" fillId="3" borderId="1" xfId="0" applyNumberFormat="1" applyFont="1" applyFill="1" applyBorder="1" applyAlignment="1">
      <alignment horizontal="center"/>
    </xf>
    <xf numFmtId="0" fontId="8" fillId="11" borderId="0" xfId="0" applyFont="1" applyFill="1"/>
    <xf numFmtId="0" fontId="3" fillId="24" borderId="2" xfId="0" applyFont="1" applyFill="1" applyBorder="1" applyAlignment="1">
      <alignment horizontal="center" vertical="center" wrapText="1"/>
    </xf>
    <xf numFmtId="166" fontId="5" fillId="24" borderId="0" xfId="0" applyNumberFormat="1" applyFont="1" applyFill="1" applyAlignment="1">
      <alignment vertical="center"/>
    </xf>
    <xf numFmtId="166" fontId="5" fillId="24" borderId="0" xfId="0" applyNumberFormat="1" applyFont="1" applyFill="1"/>
    <xf numFmtId="0" fontId="5" fillId="24" borderId="9" xfId="0" applyFont="1" applyFill="1" applyBorder="1"/>
    <xf numFmtId="0" fontId="5" fillId="24" borderId="3" xfId="0" applyFont="1" applyFill="1" applyBorder="1"/>
    <xf numFmtId="0" fontId="5" fillId="24" borderId="10" xfId="0" applyFont="1" applyFill="1" applyBorder="1"/>
    <xf numFmtId="164" fontId="5" fillId="11" borderId="3" xfId="0" applyNumberFormat="1" applyFont="1" applyFill="1" applyBorder="1"/>
    <xf numFmtId="0" fontId="4" fillId="11" borderId="0" xfId="0" applyFont="1" applyFill="1"/>
    <xf numFmtId="0" fontId="5" fillId="24" borderId="1" xfId="0" applyFont="1" applyFill="1" applyBorder="1"/>
    <xf numFmtId="0" fontId="5" fillId="24" borderId="18" xfId="0" applyFont="1" applyFill="1" applyBorder="1"/>
    <xf numFmtId="0" fontId="5" fillId="24" borderId="0" xfId="0" applyFont="1" applyFill="1"/>
    <xf numFmtId="0" fontId="25" fillId="25" borderId="1" xfId="0" applyFont="1" applyFill="1" applyBorder="1" applyAlignment="1">
      <alignment horizontal="center" vertical="center"/>
    </xf>
    <xf numFmtId="164" fontId="25" fillId="25" borderId="1" xfId="0" applyNumberFormat="1" applyFont="1" applyFill="1" applyBorder="1" applyAlignment="1">
      <alignment horizontal="center" vertical="center"/>
    </xf>
    <xf numFmtId="165" fontId="25" fillId="25" borderId="1" xfId="0" applyNumberFormat="1" applyFont="1" applyFill="1" applyBorder="1" applyAlignment="1">
      <alignment horizontal="center" vertical="center" wrapText="1"/>
    </xf>
    <xf numFmtId="164" fontId="25" fillId="25" borderId="1" xfId="0" applyNumberFormat="1" applyFont="1" applyFill="1" applyBorder="1" applyAlignment="1">
      <alignment horizontal="center" vertical="center" wrapText="1"/>
    </xf>
    <xf numFmtId="189" fontId="5" fillId="3" borderId="1" xfId="0" applyNumberFormat="1" applyFont="1" applyFill="1" applyBorder="1" applyAlignment="1">
      <alignment horizontal="center"/>
    </xf>
    <xf numFmtId="164" fontId="5" fillId="3" borderId="3" xfId="0" applyNumberFormat="1" applyFont="1" applyFill="1" applyBorder="1" applyAlignment="1"/>
    <xf numFmtId="164" fontId="6" fillId="3" borderId="10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right"/>
    </xf>
    <xf numFmtId="0" fontId="5" fillId="6" borderId="1" xfId="0" applyFont="1" applyFill="1" applyBorder="1"/>
    <xf numFmtId="165" fontId="5" fillId="6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/>
    <xf numFmtId="0" fontId="5" fillId="26" borderId="1" xfId="0" applyFont="1" applyFill="1" applyBorder="1"/>
    <xf numFmtId="164" fontId="25" fillId="11" borderId="20" xfId="0" applyNumberFormat="1" applyFont="1" applyFill="1" applyBorder="1" applyAlignment="1">
      <alignment vertical="center"/>
    </xf>
    <xf numFmtId="164" fontId="25" fillId="11" borderId="0" xfId="0" applyNumberFormat="1" applyFont="1" applyFill="1" applyAlignment="1">
      <alignment vertical="center"/>
    </xf>
    <xf numFmtId="0" fontId="26" fillId="27" borderId="1" xfId="0" applyFont="1" applyFill="1" applyBorder="1" applyAlignment="1">
      <alignment horizontal="center" vertical="center"/>
    </xf>
    <xf numFmtId="0" fontId="26" fillId="27" borderId="1" xfId="0" applyFont="1" applyFill="1" applyBorder="1" applyAlignment="1">
      <alignment horizontal="center" vertical="center"/>
    </xf>
    <xf numFmtId="0" fontId="27" fillId="28" borderId="1" xfId="0" applyFont="1" applyFill="1" applyBorder="1" applyAlignment="1">
      <alignment horizontal="center" vertical="center"/>
    </xf>
    <xf numFmtId="9" fontId="28" fillId="28" borderId="1" xfId="0" applyNumberFormat="1" applyFont="1" applyFill="1" applyBorder="1" applyAlignment="1">
      <alignment horizontal="center" vertical="center"/>
    </xf>
    <xf numFmtId="0" fontId="28" fillId="28" borderId="1" xfId="0" applyFont="1" applyFill="1" applyBorder="1" applyAlignment="1">
      <alignment horizontal="center" vertical="center"/>
    </xf>
    <xf numFmtId="1" fontId="28" fillId="28" borderId="1" xfId="0" applyNumberFormat="1" applyFont="1" applyFill="1" applyBorder="1" applyAlignment="1">
      <alignment horizontal="center" vertical="center"/>
    </xf>
    <xf numFmtId="10" fontId="28" fillId="28" borderId="1" xfId="0" applyNumberFormat="1" applyFont="1" applyFill="1" applyBorder="1" applyAlignment="1">
      <alignment horizontal="center" vertical="center"/>
    </xf>
    <xf numFmtId="0" fontId="29" fillId="27" borderId="1" xfId="0" applyFont="1" applyFill="1" applyBorder="1" applyAlignment="1">
      <alignment horizontal="center" vertical="center"/>
    </xf>
    <xf numFmtId="9" fontId="29" fillId="27" borderId="1" xfId="0" applyNumberFormat="1" applyFont="1" applyFill="1" applyBorder="1" applyAlignment="1">
      <alignment horizontal="center" vertical="center"/>
    </xf>
    <xf numFmtId="10" fontId="29" fillId="27" borderId="1" xfId="0" applyNumberFormat="1" applyFont="1" applyFill="1" applyBorder="1" applyAlignment="1">
      <alignment horizontal="center" vertical="center"/>
    </xf>
    <xf numFmtId="178" fontId="30" fillId="28" borderId="1" xfId="0" applyNumberFormat="1" applyFont="1" applyFill="1" applyBorder="1" applyAlignment="1">
      <alignment horizontal="center" vertical="center"/>
    </xf>
    <xf numFmtId="170" fontId="16" fillId="0" borderId="1" xfId="1" applyNumberFormat="1" applyFont="1" applyBorder="1" applyAlignment="1">
      <alignment horizontal="center" vertical="center"/>
    </xf>
    <xf numFmtId="170" fontId="16" fillId="0" borderId="1" xfId="1" applyNumberFormat="1" applyFont="1" applyBorder="1" applyAlignment="1">
      <alignment horizontal="right" vertical="center"/>
    </xf>
    <xf numFmtId="170" fontId="16" fillId="0" borderId="12" xfId="1" applyNumberFormat="1" applyFont="1" applyBorder="1" applyAlignment="1">
      <alignment horizontal="center" vertical="center"/>
    </xf>
    <xf numFmtId="170" fontId="16" fillId="0" borderId="12" xfId="1" applyNumberFormat="1" applyFont="1" applyBorder="1" applyAlignment="1">
      <alignment horizontal="right" vertical="center"/>
    </xf>
    <xf numFmtId="170" fontId="16" fillId="0" borderId="12" xfId="1" applyNumberFormat="1" applyFont="1" applyBorder="1"/>
    <xf numFmtId="170" fontId="13" fillId="3" borderId="1" xfId="1" applyNumberFormat="1" applyFont="1" applyFill="1" applyBorder="1"/>
    <xf numFmtId="0" fontId="13" fillId="3" borderId="1" xfId="0" applyFont="1" applyFill="1" applyBorder="1" applyAlignment="1">
      <alignment horizontal="center"/>
    </xf>
    <xf numFmtId="182" fontId="13" fillId="29" borderId="1" xfId="0" applyNumberFormat="1" applyFont="1" applyFill="1" applyBorder="1" applyAlignment="1">
      <alignment horizontal="center" vertical="center" readingOrder="1"/>
    </xf>
    <xf numFmtId="0" fontId="13" fillId="16" borderId="1" xfId="0" applyFont="1" applyFill="1" applyBorder="1" applyAlignment="1">
      <alignment horizontal="center" vertical="center"/>
    </xf>
    <xf numFmtId="182" fontId="13" fillId="29" borderId="12" xfId="0" applyNumberFormat="1" applyFont="1" applyFill="1" applyBorder="1" applyAlignment="1">
      <alignment horizontal="center" vertical="center" readingOrder="1"/>
    </xf>
    <xf numFmtId="0" fontId="13" fillId="16" borderId="12" xfId="0" applyFont="1" applyFill="1" applyBorder="1" applyAlignment="1">
      <alignment horizontal="center" vertical="center"/>
    </xf>
    <xf numFmtId="169" fontId="13" fillId="3" borderId="1" xfId="0" applyNumberFormat="1" applyFont="1" applyFill="1" applyBorder="1"/>
    <xf numFmtId="182" fontId="13" fillId="3" borderId="1" xfId="0" applyNumberFormat="1" applyFont="1" applyFill="1" applyBorder="1" applyAlignment="1">
      <alignment horizontal="center" vertical="center" readingOrder="1"/>
    </xf>
    <xf numFmtId="170" fontId="22" fillId="0" borderId="1" xfId="1" applyNumberFormat="1" applyFont="1" applyBorder="1"/>
    <xf numFmtId="170" fontId="22" fillId="21" borderId="1" xfId="1" applyNumberFormat="1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4" fillId="22" borderId="0" xfId="0" applyFont="1" applyFill="1" applyAlignment="1">
      <alignment horizontal="center" vertical="center"/>
    </xf>
    <xf numFmtId="0" fontId="21" fillId="22" borderId="1" xfId="0" applyFont="1" applyFill="1" applyBorder="1" applyAlignment="1">
      <alignment horizontal="center" vertical="center"/>
    </xf>
    <xf numFmtId="186" fontId="21" fillId="22" borderId="1" xfId="0" applyNumberFormat="1" applyFont="1" applyFill="1" applyBorder="1"/>
    <xf numFmtId="181" fontId="21" fillId="22" borderId="1" xfId="0" applyNumberFormat="1" applyFont="1" applyFill="1" applyBorder="1"/>
    <xf numFmtId="170" fontId="21" fillId="22" borderId="1" xfId="0" applyNumberFormat="1" applyFont="1" applyFill="1" applyBorder="1"/>
    <xf numFmtId="169" fontId="21" fillId="22" borderId="1" xfId="0" applyNumberFormat="1" applyFont="1" applyFill="1" applyBorder="1"/>
    <xf numFmtId="170" fontId="21" fillId="22" borderId="1" xfId="0" applyNumberFormat="1" applyFont="1" applyFill="1" applyBorder="1" applyAlignment="1">
      <alignment vertical="center"/>
    </xf>
    <xf numFmtId="9" fontId="21" fillId="22" borderId="1" xfId="2" applyFont="1" applyFill="1" applyBorder="1" applyAlignment="1">
      <alignment horizontal="center" vertical="center"/>
    </xf>
    <xf numFmtId="186" fontId="21" fillId="22" borderId="1" xfId="0" applyNumberFormat="1" applyFont="1" applyFill="1" applyBorder="1" applyAlignment="1">
      <alignment vertical="center"/>
    </xf>
    <xf numFmtId="181" fontId="21" fillId="22" borderId="1" xfId="0" applyNumberFormat="1" applyFont="1" applyFill="1" applyBorder="1" applyAlignment="1">
      <alignment vertical="center"/>
    </xf>
    <xf numFmtId="169" fontId="21" fillId="22" borderId="1" xfId="0" applyNumberFormat="1" applyFont="1" applyFill="1" applyBorder="1" applyAlignment="1">
      <alignment vertical="center"/>
    </xf>
    <xf numFmtId="170" fontId="21" fillId="22" borderId="1" xfId="1" applyNumberFormat="1" applyFont="1" applyFill="1" applyBorder="1" applyAlignment="1">
      <alignment vertical="center"/>
    </xf>
    <xf numFmtId="0" fontId="21" fillId="22" borderId="1" xfId="0" applyFont="1" applyFill="1" applyBorder="1" applyAlignment="1">
      <alignment vertical="center"/>
    </xf>
    <xf numFmtId="181" fontId="9" fillId="9" borderId="1" xfId="1" applyNumberFormat="1" applyFont="1" applyFill="1" applyBorder="1"/>
    <xf numFmtId="169" fontId="9" fillId="9" borderId="1" xfId="1" applyNumberFormat="1" applyFont="1" applyFill="1" applyBorder="1"/>
    <xf numFmtId="0" fontId="30" fillId="28" borderId="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 cent" xfId="2" builtinId="5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8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Smart4</a:t>
            </a:r>
            <a:r>
              <a:rPr lang="en-GB" sz="8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Energy &amp; Cloud NFI (Q1)</a:t>
            </a:r>
            <a:endParaRPr lang="en-GB" sz="8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76181102362205"/>
          <c:y val="0.19486111111111112"/>
          <c:w val="0.80665485564304462"/>
          <c:h val="0.72125801983085447"/>
        </c:manualLayout>
      </c:layout>
      <c:barChart>
        <c:barDir val="bar"/>
        <c:grouping val="clustered"/>
        <c:varyColors val="0"/>
        <c:ser>
          <c:idx val="5"/>
          <c:order val="0"/>
          <c:tx>
            <c:strRef>
              <c:f>'Consultant NFI League'!$H$4</c:f>
              <c:strCache>
                <c:ptCount val="1"/>
                <c:pt idx="0">
                  <c:v>Q1 Actual</c:v>
                </c:pt>
              </c:strCache>
            </c:strRef>
          </c:tx>
          <c:spPr>
            <a:solidFill>
              <a:srgbClr val="00B0F0"/>
            </a:solidFill>
            <a:ln w="635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'Consultant NFI League'!$B$32:$B$34</c:f>
              <c:strCache>
                <c:ptCount val="3"/>
                <c:pt idx="0">
                  <c:v>S4 TOTAL</c:v>
                </c:pt>
                <c:pt idx="1">
                  <c:v>SMART4 ENERGY</c:v>
                </c:pt>
                <c:pt idx="2">
                  <c:v>SMART4 CLOUD</c:v>
                </c:pt>
              </c:strCache>
            </c:strRef>
          </c:cat>
          <c:val>
            <c:numRef>
              <c:f>'Consultant NFI League'!$H$32:$H$34</c:f>
              <c:numCache>
                <c:formatCode>_-[$R-1C09]* #,##0_-;\-[$R-1C09]* #,##0_-;_-[$R-1C09]* "-"??_-;_-@_-</c:formatCode>
                <c:ptCount val="3"/>
                <c:pt idx="0" formatCode="_(&quot;R&quot;* #,##0_);_(&quot;R&quot;* \(#,##0\);_(&quot;R&quot;* &quot;-&quot;??_);_(@_)">
                  <c:v>1029055</c:v>
                </c:pt>
                <c:pt idx="1">
                  <c:v>231300</c:v>
                </c:pt>
                <c:pt idx="2">
                  <c:v>797755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5F-CB43-B087-895934F3D102}"/>
            </c:ext>
          </c:extLst>
        </c:ser>
        <c:ser>
          <c:idx val="6"/>
          <c:order val="1"/>
          <c:tx>
            <c:strRef>
              <c:f>'Consultant NFI League'!$I$4</c:f>
              <c:strCache>
                <c:ptCount val="1"/>
                <c:pt idx="0">
                  <c:v>Q1 Target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 w="6350">
              <a:solidFill>
                <a:schemeClr val="tx1"/>
              </a:solidFill>
            </a:ln>
            <a:effectLst/>
          </c:spPr>
          <c:invertIfNegative val="0"/>
          <c:cat>
            <c:strRef>
              <c:f>'Consultant NFI League'!$B$32:$B$34</c:f>
              <c:strCache>
                <c:ptCount val="3"/>
                <c:pt idx="0">
                  <c:v>S4 TOTAL</c:v>
                </c:pt>
                <c:pt idx="1">
                  <c:v>SMART4 ENERGY</c:v>
                </c:pt>
                <c:pt idx="2">
                  <c:v>SMART4 CLOUD</c:v>
                </c:pt>
              </c:strCache>
            </c:strRef>
          </c:cat>
          <c:val>
            <c:numRef>
              <c:f>'Consultant NFI League'!$I$32:$I$34</c:f>
              <c:numCache>
                <c:formatCode>_-[$R-1C09]* #,##0_-;\-[$R-1C09]* #,##0_-;_-[$R-1C09]* "-"??_-;_-@_-</c:formatCode>
                <c:ptCount val="3"/>
                <c:pt idx="0" formatCode="_(&quot;R&quot;* #,##0_);_(&quot;R&quot;* \(#,##0\);_(&quot;R&quot;* &quot;-&quot;??_);_(@_)">
                  <c:v>8310875</c:v>
                </c:pt>
                <c:pt idx="1">
                  <c:v>6038000</c:v>
                </c:pt>
                <c:pt idx="2">
                  <c:v>2272875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5F-CB43-B087-895934F3D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1"/>
        <c:overlap val="-39"/>
        <c:axId val="1979959008"/>
        <c:axId val="1980204800"/>
      </c:barChart>
      <c:catAx>
        <c:axId val="197995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0204800"/>
        <c:crosses val="autoZero"/>
        <c:auto val="1"/>
        <c:lblAlgn val="ctr"/>
        <c:lblOffset val="100"/>
        <c:noMultiLvlLbl val="0"/>
      </c:catAx>
      <c:valAx>
        <c:axId val="198020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&quot;* #,##0_);_(&quot;R&quot;* \(#,##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7995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13395580969467"/>
          <c:y val="0"/>
          <c:w val="8.5556245372997927E-2"/>
          <c:h val="0.129655812674070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108858</xdr:colOff>
      <xdr:row>36</xdr:row>
      <xdr:rowOff>125186</xdr:rowOff>
    </xdr:from>
    <xdr:to>
      <xdr:col>9</xdr:col>
      <xdr:colOff>589643</xdr:colOff>
      <xdr:row>57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32A98F-D156-27C8-D05F-0F15C7123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20AE-E892-C442-A1CE-1B59CDA8C5BE}">
  <dimension ref="B2:AD36"/>
  <sheetViews>
    <sheetView tabSelected="1" topLeftCell="L1" zoomScale="150" zoomScaleNormal="150" workbookViewId="0">
      <selection activeCell="Q10" sqref="Q10"/>
    </sheetView>
  </sheetViews>
  <sheetFormatPr baseColWidth="10" defaultRowHeight="11" x14ac:dyDescent="0.15"/>
  <cols>
    <col min="1" max="1" width="1.5" style="298" customWidth="1"/>
    <col min="2" max="2" width="17.83203125" style="299" bestFit="1" customWidth="1"/>
    <col min="3" max="3" width="8.6640625" style="299" bestFit="1" customWidth="1"/>
    <col min="4" max="4" width="7.83203125" style="299" bestFit="1" customWidth="1"/>
    <col min="5" max="7" width="10.83203125" style="298"/>
    <col min="8" max="8" width="11.33203125" style="298" customWidth="1"/>
    <col min="9" max="9" width="11.1640625" style="298" customWidth="1"/>
    <col min="10" max="10" width="8.5" style="298" customWidth="1"/>
    <col min="11" max="11" width="2.33203125" style="298" customWidth="1"/>
    <col min="12" max="12" width="18" style="298" bestFit="1" customWidth="1"/>
    <col min="13" max="13" width="8.6640625" style="298" bestFit="1" customWidth="1"/>
    <col min="14" max="14" width="7.83203125" style="298" bestFit="1" customWidth="1"/>
    <col min="15" max="19" width="10.83203125" style="298"/>
    <col min="20" max="20" width="8.33203125" style="298" bestFit="1" customWidth="1"/>
    <col min="21" max="21" width="2.1640625" style="298" customWidth="1"/>
    <col min="22" max="22" width="18" style="298" bestFit="1" customWidth="1"/>
    <col min="23" max="23" width="9.6640625" style="298" bestFit="1" customWidth="1"/>
    <col min="24" max="24" width="12.6640625" style="298" bestFit="1" customWidth="1"/>
    <col min="25" max="29" width="10.83203125" style="298"/>
    <col min="30" max="30" width="8.33203125" style="298" bestFit="1" customWidth="1"/>
    <col min="31" max="16384" width="10.83203125" style="298"/>
  </cols>
  <sheetData>
    <row r="2" spans="2:30" s="321" customFormat="1" ht="15" customHeight="1" x14ac:dyDescent="0.2">
      <c r="B2" s="403" t="s">
        <v>217</v>
      </c>
      <c r="C2" s="401"/>
      <c r="D2" s="401"/>
      <c r="L2" s="403" t="s">
        <v>218</v>
      </c>
      <c r="M2" s="402">
        <v>16.670000000000002</v>
      </c>
      <c r="V2" s="403" t="s">
        <v>219</v>
      </c>
      <c r="W2" s="402">
        <v>22.3</v>
      </c>
    </row>
    <row r="4" spans="2:30" s="321" customFormat="1" ht="19" customHeight="1" x14ac:dyDescent="0.2">
      <c r="B4" s="404" t="s">
        <v>125</v>
      </c>
      <c r="C4" s="404" t="s">
        <v>188</v>
      </c>
      <c r="D4" s="404" t="s">
        <v>189</v>
      </c>
      <c r="E4" s="404" t="s">
        <v>183</v>
      </c>
      <c r="F4" s="404" t="s">
        <v>43</v>
      </c>
      <c r="G4" s="404" t="s">
        <v>184</v>
      </c>
      <c r="H4" s="404" t="s">
        <v>185</v>
      </c>
      <c r="I4" s="404" t="s">
        <v>186</v>
      </c>
      <c r="J4" s="404" t="s">
        <v>187</v>
      </c>
      <c r="L4" s="404" t="s">
        <v>125</v>
      </c>
      <c r="M4" s="404" t="s">
        <v>188</v>
      </c>
      <c r="N4" s="404" t="s">
        <v>189</v>
      </c>
      <c r="O4" s="404" t="s">
        <v>183</v>
      </c>
      <c r="P4" s="404" t="s">
        <v>43</v>
      </c>
      <c r="Q4" s="404" t="s">
        <v>184</v>
      </c>
      <c r="R4" s="404" t="s">
        <v>185</v>
      </c>
      <c r="S4" s="404" t="s">
        <v>186</v>
      </c>
      <c r="T4" s="404" t="s">
        <v>187</v>
      </c>
      <c r="V4" s="404" t="s">
        <v>125</v>
      </c>
      <c r="W4" s="404" t="s">
        <v>188</v>
      </c>
      <c r="X4" s="404" t="s">
        <v>189</v>
      </c>
      <c r="Y4" s="404" t="s">
        <v>183</v>
      </c>
      <c r="Z4" s="404" t="s">
        <v>43</v>
      </c>
      <c r="AA4" s="404" t="s">
        <v>184</v>
      </c>
      <c r="AB4" s="404" t="s">
        <v>185</v>
      </c>
      <c r="AC4" s="404" t="s">
        <v>186</v>
      </c>
      <c r="AD4" s="404" t="s">
        <v>187</v>
      </c>
    </row>
    <row r="5" spans="2:30" x14ac:dyDescent="0.15">
      <c r="B5" s="306" t="s">
        <v>167</v>
      </c>
      <c r="C5" s="300" t="s">
        <v>208</v>
      </c>
      <c r="D5" s="300" t="s">
        <v>255</v>
      </c>
      <c r="E5" s="399"/>
      <c r="F5" s="399"/>
      <c r="G5" s="399"/>
      <c r="H5" s="408">
        <f t="shared" ref="H5:H20" si="0">SUM(E5:G5)</f>
        <v>0</v>
      </c>
      <c r="I5" s="407">
        <v>900000</v>
      </c>
      <c r="J5" s="313">
        <f t="shared" ref="J5:J22" si="1">H5/I5</f>
        <v>0</v>
      </c>
      <c r="L5" s="306" t="s">
        <v>167</v>
      </c>
      <c r="M5" s="300" t="s">
        <v>208</v>
      </c>
      <c r="N5" s="300" t="s">
        <v>255</v>
      </c>
      <c r="O5" s="316">
        <f>E5/$M$2</f>
        <v>0</v>
      </c>
      <c r="P5" s="316">
        <f t="shared" ref="P5:Q5" si="2">F5/$M$2</f>
        <v>0</v>
      </c>
      <c r="Q5" s="316">
        <f t="shared" si="2"/>
        <v>0</v>
      </c>
      <c r="R5" s="405">
        <f>H5/$M$2</f>
        <v>0</v>
      </c>
      <c r="S5" s="405">
        <f>I5/$M$2</f>
        <v>53989.202159568078</v>
      </c>
      <c r="T5" s="301"/>
      <c r="V5" s="306" t="s">
        <v>167</v>
      </c>
      <c r="W5" s="300" t="s">
        <v>208</v>
      </c>
      <c r="X5" s="300" t="s">
        <v>255</v>
      </c>
      <c r="Y5" s="318">
        <f>E5/$W$2</f>
        <v>0</v>
      </c>
      <c r="Z5" s="318">
        <f t="shared" ref="Z5:AA5" si="3">F5/$W$2</f>
        <v>0</v>
      </c>
      <c r="AA5" s="318">
        <f t="shared" si="3"/>
        <v>0</v>
      </c>
      <c r="AB5" s="406">
        <f>H5/$W$2</f>
        <v>0</v>
      </c>
      <c r="AC5" s="406">
        <f>I5/$W$2</f>
        <v>40358.744394618836</v>
      </c>
      <c r="AD5" s="301"/>
    </row>
    <row r="6" spans="2:30" x14ac:dyDescent="0.15">
      <c r="B6" s="306" t="s">
        <v>190</v>
      </c>
      <c r="C6" s="300" t="s">
        <v>208</v>
      </c>
      <c r="D6" s="300" t="s">
        <v>255</v>
      </c>
      <c r="E6" s="399">
        <f>'Perm NFI data'!AD32</f>
        <v>74250</v>
      </c>
      <c r="F6" s="399"/>
      <c r="G6" s="399"/>
      <c r="H6" s="408">
        <f t="shared" si="0"/>
        <v>74250</v>
      </c>
      <c r="I6" s="407">
        <v>900000</v>
      </c>
      <c r="J6" s="313">
        <f t="shared" si="1"/>
        <v>8.2500000000000004E-2</v>
      </c>
      <c r="L6" s="306" t="s">
        <v>190</v>
      </c>
      <c r="M6" s="300" t="s">
        <v>208</v>
      </c>
      <c r="N6" s="300" t="s">
        <v>255</v>
      </c>
      <c r="O6" s="316">
        <f t="shared" ref="O6:O27" si="4">E6/$M$2</f>
        <v>4454.1091781643663</v>
      </c>
      <c r="P6" s="316">
        <f t="shared" ref="P6:P27" si="5">F6/$M$2</f>
        <v>0</v>
      </c>
      <c r="Q6" s="316">
        <f t="shared" ref="Q6:Q27" si="6">G6/$M$2</f>
        <v>0</v>
      </c>
      <c r="R6" s="405">
        <f t="shared" ref="R6:R34" si="7">H6/$M$2</f>
        <v>4454.1091781643663</v>
      </c>
      <c r="S6" s="405">
        <f t="shared" ref="S6:S34" si="8">I6/$M$2</f>
        <v>53989.202159568078</v>
      </c>
      <c r="T6" s="301"/>
      <c r="V6" s="306" t="s">
        <v>190</v>
      </c>
      <c r="W6" s="300" t="s">
        <v>208</v>
      </c>
      <c r="X6" s="300" t="s">
        <v>255</v>
      </c>
      <c r="Y6" s="318">
        <f t="shared" ref="Y6:Y27" si="9">E6/$W$2</f>
        <v>3329.5964125560536</v>
      </c>
      <c r="Z6" s="318">
        <f t="shared" ref="Z6:Z27" si="10">F6/$W$2</f>
        <v>0</v>
      </c>
      <c r="AA6" s="318">
        <f t="shared" ref="AA6:AA27" si="11">G6/$W$2</f>
        <v>0</v>
      </c>
      <c r="AB6" s="406">
        <f t="shared" ref="AB6:AB34" si="12">H6/$W$2</f>
        <v>3329.5964125560536</v>
      </c>
      <c r="AC6" s="406">
        <f t="shared" ref="AC6:AC34" si="13">I6/$W$2</f>
        <v>40358.744394618836</v>
      </c>
      <c r="AD6" s="301"/>
    </row>
    <row r="7" spans="2:30" x14ac:dyDescent="0.15">
      <c r="B7" s="306" t="s">
        <v>191</v>
      </c>
      <c r="C7" s="300" t="s">
        <v>208</v>
      </c>
      <c r="D7" s="300" t="s">
        <v>255</v>
      </c>
      <c r="E7" s="399">
        <f>'Perm NFI data'!AE32</f>
        <v>74250</v>
      </c>
      <c r="F7" s="399"/>
      <c r="G7" s="399"/>
      <c r="H7" s="408">
        <f t="shared" si="0"/>
        <v>74250</v>
      </c>
      <c r="I7" s="407">
        <v>525000</v>
      </c>
      <c r="J7" s="313">
        <f t="shared" si="1"/>
        <v>0.14142857142857143</v>
      </c>
      <c r="L7" s="306" t="s">
        <v>191</v>
      </c>
      <c r="M7" s="300" t="s">
        <v>208</v>
      </c>
      <c r="N7" s="300" t="s">
        <v>255</v>
      </c>
      <c r="O7" s="316">
        <f t="shared" si="4"/>
        <v>4454.1091781643663</v>
      </c>
      <c r="P7" s="316">
        <f t="shared" si="5"/>
        <v>0</v>
      </c>
      <c r="Q7" s="316">
        <f t="shared" si="6"/>
        <v>0</v>
      </c>
      <c r="R7" s="405">
        <f t="shared" si="7"/>
        <v>4454.1091781643663</v>
      </c>
      <c r="S7" s="405">
        <f t="shared" si="8"/>
        <v>31493.701259748046</v>
      </c>
      <c r="T7" s="301"/>
      <c r="V7" s="306" t="s">
        <v>191</v>
      </c>
      <c r="W7" s="300" t="s">
        <v>208</v>
      </c>
      <c r="X7" s="300" t="s">
        <v>255</v>
      </c>
      <c r="Y7" s="318">
        <f t="shared" si="9"/>
        <v>3329.5964125560536</v>
      </c>
      <c r="Z7" s="318">
        <f t="shared" si="10"/>
        <v>0</v>
      </c>
      <c r="AA7" s="318">
        <f t="shared" si="11"/>
        <v>0</v>
      </c>
      <c r="AB7" s="406">
        <f t="shared" si="12"/>
        <v>3329.5964125560536</v>
      </c>
      <c r="AC7" s="406">
        <f t="shared" si="13"/>
        <v>23542.600896860986</v>
      </c>
      <c r="AD7" s="301"/>
    </row>
    <row r="8" spans="2:30" x14ac:dyDescent="0.15">
      <c r="B8" s="306" t="s">
        <v>192</v>
      </c>
      <c r="C8" s="300" t="s">
        <v>208</v>
      </c>
      <c r="D8" s="300" t="s">
        <v>255</v>
      </c>
      <c r="E8" s="399">
        <f>'S4 Cloud Contractor Data'!C91</f>
        <v>12000</v>
      </c>
      <c r="F8" s="399">
        <f>'S4 Cloud Contractor Data'!D91</f>
        <v>12000</v>
      </c>
      <c r="G8" s="399">
        <f>'S4 Cloud Contractor Data'!E91</f>
        <v>12000</v>
      </c>
      <c r="H8" s="408">
        <f t="shared" si="0"/>
        <v>36000</v>
      </c>
      <c r="I8" s="407">
        <v>510000</v>
      </c>
      <c r="J8" s="313">
        <f t="shared" si="1"/>
        <v>7.0588235294117646E-2</v>
      </c>
      <c r="L8" s="306" t="s">
        <v>192</v>
      </c>
      <c r="M8" s="300" t="s">
        <v>208</v>
      </c>
      <c r="N8" s="300" t="s">
        <v>255</v>
      </c>
      <c r="O8" s="316">
        <f t="shared" si="4"/>
        <v>719.85602879424107</v>
      </c>
      <c r="P8" s="316">
        <f t="shared" si="5"/>
        <v>719.85602879424107</v>
      </c>
      <c r="Q8" s="316">
        <f t="shared" si="6"/>
        <v>719.85602879424107</v>
      </c>
      <c r="R8" s="405">
        <f t="shared" si="7"/>
        <v>2159.5680863827233</v>
      </c>
      <c r="S8" s="405">
        <f t="shared" si="8"/>
        <v>30593.881223755245</v>
      </c>
      <c r="T8" s="301"/>
      <c r="V8" s="306" t="s">
        <v>192</v>
      </c>
      <c r="W8" s="300" t="s">
        <v>208</v>
      </c>
      <c r="X8" s="300" t="s">
        <v>255</v>
      </c>
      <c r="Y8" s="318">
        <f t="shared" si="9"/>
        <v>538.11659192825107</v>
      </c>
      <c r="Z8" s="318">
        <f t="shared" si="10"/>
        <v>538.11659192825107</v>
      </c>
      <c r="AA8" s="318">
        <f t="shared" si="11"/>
        <v>538.11659192825107</v>
      </c>
      <c r="AB8" s="406">
        <f t="shared" si="12"/>
        <v>1614.3497757847533</v>
      </c>
      <c r="AC8" s="406">
        <f t="shared" si="13"/>
        <v>22869.955156950673</v>
      </c>
      <c r="AD8" s="301"/>
    </row>
    <row r="9" spans="2:30" x14ac:dyDescent="0.15">
      <c r="B9" s="306" t="s">
        <v>193</v>
      </c>
      <c r="C9" s="300" t="s">
        <v>208</v>
      </c>
      <c r="D9" s="300" t="s">
        <v>255</v>
      </c>
      <c r="E9" s="399"/>
      <c r="F9" s="399"/>
      <c r="G9" s="399"/>
      <c r="H9" s="408">
        <f t="shared" si="0"/>
        <v>0</v>
      </c>
      <c r="I9" s="407">
        <v>450000</v>
      </c>
      <c r="J9" s="313">
        <f t="shared" si="1"/>
        <v>0</v>
      </c>
      <c r="L9" s="306" t="s">
        <v>193</v>
      </c>
      <c r="M9" s="300" t="s">
        <v>208</v>
      </c>
      <c r="N9" s="300" t="s">
        <v>255</v>
      </c>
      <c r="O9" s="316">
        <f t="shared" si="4"/>
        <v>0</v>
      </c>
      <c r="P9" s="316">
        <f t="shared" si="5"/>
        <v>0</v>
      </c>
      <c r="Q9" s="316">
        <f t="shared" si="6"/>
        <v>0</v>
      </c>
      <c r="R9" s="405">
        <f t="shared" si="7"/>
        <v>0</v>
      </c>
      <c r="S9" s="405">
        <f t="shared" si="8"/>
        <v>26994.601079784039</v>
      </c>
      <c r="T9" s="301"/>
      <c r="V9" s="306" t="s">
        <v>193</v>
      </c>
      <c r="W9" s="300" t="s">
        <v>208</v>
      </c>
      <c r="X9" s="300" t="s">
        <v>255</v>
      </c>
      <c r="Y9" s="318">
        <f t="shared" si="9"/>
        <v>0</v>
      </c>
      <c r="Z9" s="318">
        <f t="shared" si="10"/>
        <v>0</v>
      </c>
      <c r="AA9" s="318">
        <f t="shared" si="11"/>
        <v>0</v>
      </c>
      <c r="AB9" s="406">
        <f t="shared" si="12"/>
        <v>0</v>
      </c>
      <c r="AC9" s="406">
        <f t="shared" si="13"/>
        <v>20179.372197309418</v>
      </c>
      <c r="AD9" s="301"/>
    </row>
    <row r="10" spans="2:30" x14ac:dyDescent="0.15">
      <c r="B10" s="306" t="s">
        <v>194</v>
      </c>
      <c r="C10" s="300" t="s">
        <v>208</v>
      </c>
      <c r="D10" s="300" t="s">
        <v>255</v>
      </c>
      <c r="E10" s="399"/>
      <c r="F10" s="399"/>
      <c r="G10" s="399"/>
      <c r="H10" s="408">
        <f t="shared" si="0"/>
        <v>0</v>
      </c>
      <c r="I10" s="407">
        <v>450000</v>
      </c>
      <c r="J10" s="313">
        <f t="shared" si="1"/>
        <v>0</v>
      </c>
      <c r="L10" s="306" t="s">
        <v>194</v>
      </c>
      <c r="M10" s="300" t="s">
        <v>208</v>
      </c>
      <c r="N10" s="300" t="s">
        <v>255</v>
      </c>
      <c r="O10" s="316">
        <f t="shared" si="4"/>
        <v>0</v>
      </c>
      <c r="P10" s="316">
        <f t="shared" si="5"/>
        <v>0</v>
      </c>
      <c r="Q10" s="316">
        <f t="shared" si="6"/>
        <v>0</v>
      </c>
      <c r="R10" s="405">
        <f t="shared" si="7"/>
        <v>0</v>
      </c>
      <c r="S10" s="405">
        <f t="shared" si="8"/>
        <v>26994.601079784039</v>
      </c>
      <c r="T10" s="301"/>
      <c r="V10" s="306" t="s">
        <v>194</v>
      </c>
      <c r="W10" s="300" t="s">
        <v>208</v>
      </c>
      <c r="X10" s="300" t="s">
        <v>255</v>
      </c>
      <c r="Y10" s="318">
        <f t="shared" si="9"/>
        <v>0</v>
      </c>
      <c r="Z10" s="318">
        <f t="shared" si="10"/>
        <v>0</v>
      </c>
      <c r="AA10" s="318">
        <f t="shared" si="11"/>
        <v>0</v>
      </c>
      <c r="AB10" s="406">
        <f t="shared" si="12"/>
        <v>0</v>
      </c>
      <c r="AC10" s="406">
        <f t="shared" si="13"/>
        <v>20179.372197309418</v>
      </c>
      <c r="AD10" s="301"/>
    </row>
    <row r="11" spans="2:30" x14ac:dyDescent="0.15">
      <c r="B11" s="306" t="s">
        <v>195</v>
      </c>
      <c r="C11" s="300" t="s">
        <v>208</v>
      </c>
      <c r="D11" s="300" t="s">
        <v>255</v>
      </c>
      <c r="E11" s="399"/>
      <c r="F11" s="399"/>
      <c r="G11" s="399"/>
      <c r="H11" s="408">
        <f t="shared" si="0"/>
        <v>0</v>
      </c>
      <c r="I11" s="407">
        <v>450000</v>
      </c>
      <c r="J11" s="313">
        <f t="shared" si="1"/>
        <v>0</v>
      </c>
      <c r="L11" s="306" t="s">
        <v>195</v>
      </c>
      <c r="M11" s="300" t="s">
        <v>208</v>
      </c>
      <c r="N11" s="300" t="s">
        <v>255</v>
      </c>
      <c r="O11" s="316">
        <f t="shared" si="4"/>
        <v>0</v>
      </c>
      <c r="P11" s="316">
        <f t="shared" si="5"/>
        <v>0</v>
      </c>
      <c r="Q11" s="316">
        <f t="shared" si="6"/>
        <v>0</v>
      </c>
      <c r="R11" s="405">
        <f t="shared" si="7"/>
        <v>0</v>
      </c>
      <c r="S11" s="405">
        <f t="shared" si="8"/>
        <v>26994.601079784039</v>
      </c>
      <c r="T11" s="301"/>
      <c r="V11" s="306" t="s">
        <v>195</v>
      </c>
      <c r="W11" s="300" t="s">
        <v>208</v>
      </c>
      <c r="X11" s="300" t="s">
        <v>255</v>
      </c>
      <c r="Y11" s="318">
        <f t="shared" si="9"/>
        <v>0</v>
      </c>
      <c r="Z11" s="318">
        <f t="shared" si="10"/>
        <v>0</v>
      </c>
      <c r="AA11" s="318">
        <f t="shared" si="11"/>
        <v>0</v>
      </c>
      <c r="AB11" s="406">
        <f t="shared" si="12"/>
        <v>0</v>
      </c>
      <c r="AC11" s="406">
        <f t="shared" si="13"/>
        <v>20179.372197309418</v>
      </c>
      <c r="AD11" s="301"/>
    </row>
    <row r="12" spans="2:30" x14ac:dyDescent="0.15">
      <c r="B12" s="306" t="s">
        <v>196</v>
      </c>
      <c r="C12" s="300" t="s">
        <v>208</v>
      </c>
      <c r="D12" s="300" t="s">
        <v>255</v>
      </c>
      <c r="E12" s="399">
        <f>'S4 Cloud Contractor Data'!C90</f>
        <v>15600</v>
      </c>
      <c r="F12" s="399">
        <f>'S4 Cloud Contractor Data'!D90</f>
        <v>15600</v>
      </c>
      <c r="G12" s="399">
        <f>'S4 Cloud Contractor Data'!E90</f>
        <v>15600</v>
      </c>
      <c r="H12" s="408">
        <f t="shared" si="0"/>
        <v>46800</v>
      </c>
      <c r="I12" s="407">
        <v>648000</v>
      </c>
      <c r="J12" s="313">
        <f t="shared" si="1"/>
        <v>7.2222222222222215E-2</v>
      </c>
      <c r="L12" s="306" t="s">
        <v>196</v>
      </c>
      <c r="M12" s="300" t="s">
        <v>208</v>
      </c>
      <c r="N12" s="300" t="s">
        <v>255</v>
      </c>
      <c r="O12" s="316">
        <f t="shared" si="4"/>
        <v>935.81283743251345</v>
      </c>
      <c r="P12" s="316">
        <f t="shared" si="5"/>
        <v>935.81283743251345</v>
      </c>
      <c r="Q12" s="316">
        <f t="shared" si="6"/>
        <v>935.81283743251345</v>
      </c>
      <c r="R12" s="405">
        <f t="shared" si="7"/>
        <v>2807.43851229754</v>
      </c>
      <c r="S12" s="405">
        <f t="shared" si="8"/>
        <v>38872.225554889017</v>
      </c>
      <c r="T12" s="301"/>
      <c r="V12" s="306" t="s">
        <v>196</v>
      </c>
      <c r="W12" s="300" t="s">
        <v>208</v>
      </c>
      <c r="X12" s="300" t="s">
        <v>255</v>
      </c>
      <c r="Y12" s="318">
        <f t="shared" si="9"/>
        <v>699.55156950672642</v>
      </c>
      <c r="Z12" s="318">
        <f t="shared" si="10"/>
        <v>699.55156950672642</v>
      </c>
      <c r="AA12" s="318">
        <f t="shared" si="11"/>
        <v>699.55156950672642</v>
      </c>
      <c r="AB12" s="406">
        <f t="shared" si="12"/>
        <v>2098.6547085201792</v>
      </c>
      <c r="AC12" s="406">
        <f t="shared" si="13"/>
        <v>29058.295964125558</v>
      </c>
      <c r="AD12" s="301"/>
    </row>
    <row r="13" spans="2:30" x14ac:dyDescent="0.15">
      <c r="B13" s="306" t="s">
        <v>197</v>
      </c>
      <c r="C13" s="300" t="s">
        <v>208</v>
      </c>
      <c r="D13" s="300" t="s">
        <v>255</v>
      </c>
      <c r="E13" s="399"/>
      <c r="F13" s="399"/>
      <c r="G13" s="399"/>
      <c r="H13" s="408">
        <f t="shared" si="0"/>
        <v>0</v>
      </c>
      <c r="I13" s="407">
        <v>405000</v>
      </c>
      <c r="J13" s="313">
        <f t="shared" si="1"/>
        <v>0</v>
      </c>
      <c r="L13" s="306" t="s">
        <v>197</v>
      </c>
      <c r="M13" s="300" t="s">
        <v>208</v>
      </c>
      <c r="N13" s="300" t="s">
        <v>255</v>
      </c>
      <c r="O13" s="316">
        <f t="shared" si="4"/>
        <v>0</v>
      </c>
      <c r="P13" s="316">
        <f t="shared" si="5"/>
        <v>0</v>
      </c>
      <c r="Q13" s="316">
        <f t="shared" si="6"/>
        <v>0</v>
      </c>
      <c r="R13" s="405">
        <f t="shared" si="7"/>
        <v>0</v>
      </c>
      <c r="S13" s="405">
        <f t="shared" si="8"/>
        <v>24295.140971805635</v>
      </c>
      <c r="T13" s="301"/>
      <c r="V13" s="306" t="s">
        <v>197</v>
      </c>
      <c r="W13" s="300" t="s">
        <v>208</v>
      </c>
      <c r="X13" s="300" t="s">
        <v>255</v>
      </c>
      <c r="Y13" s="318">
        <f t="shared" si="9"/>
        <v>0</v>
      </c>
      <c r="Z13" s="318">
        <f t="shared" si="10"/>
        <v>0</v>
      </c>
      <c r="AA13" s="318">
        <f t="shared" si="11"/>
        <v>0</v>
      </c>
      <c r="AB13" s="406">
        <f t="shared" si="12"/>
        <v>0</v>
      </c>
      <c r="AC13" s="406">
        <f t="shared" si="13"/>
        <v>18161.434977578476</v>
      </c>
      <c r="AD13" s="301"/>
    </row>
    <row r="14" spans="2:30" x14ac:dyDescent="0.15">
      <c r="B14" s="306" t="s">
        <v>198</v>
      </c>
      <c r="C14" s="300" t="s">
        <v>208</v>
      </c>
      <c r="D14" s="300" t="s">
        <v>255</v>
      </c>
      <c r="E14" s="399"/>
      <c r="F14" s="399"/>
      <c r="G14" s="399"/>
      <c r="H14" s="408">
        <f t="shared" si="0"/>
        <v>0</v>
      </c>
      <c r="I14" s="407">
        <v>50000</v>
      </c>
      <c r="J14" s="313">
        <f t="shared" si="1"/>
        <v>0</v>
      </c>
      <c r="L14" s="306" t="s">
        <v>198</v>
      </c>
      <c r="M14" s="300" t="s">
        <v>208</v>
      </c>
      <c r="N14" s="300" t="s">
        <v>255</v>
      </c>
      <c r="O14" s="316">
        <f t="shared" si="4"/>
        <v>0</v>
      </c>
      <c r="P14" s="316">
        <f t="shared" si="5"/>
        <v>0</v>
      </c>
      <c r="Q14" s="316">
        <f t="shared" si="6"/>
        <v>0</v>
      </c>
      <c r="R14" s="405">
        <f t="shared" si="7"/>
        <v>0</v>
      </c>
      <c r="S14" s="405">
        <f t="shared" si="8"/>
        <v>2999.4001199760046</v>
      </c>
      <c r="T14" s="301"/>
      <c r="V14" s="306" t="s">
        <v>198</v>
      </c>
      <c r="W14" s="300" t="s">
        <v>208</v>
      </c>
      <c r="X14" s="300" t="s">
        <v>255</v>
      </c>
      <c r="Y14" s="318">
        <f t="shared" si="9"/>
        <v>0</v>
      </c>
      <c r="Z14" s="318">
        <f t="shared" si="10"/>
        <v>0</v>
      </c>
      <c r="AA14" s="318">
        <f t="shared" si="11"/>
        <v>0</v>
      </c>
      <c r="AB14" s="406">
        <f t="shared" si="12"/>
        <v>0</v>
      </c>
      <c r="AC14" s="406">
        <f t="shared" si="13"/>
        <v>2242.1524663677128</v>
      </c>
      <c r="AD14" s="301"/>
    </row>
    <row r="15" spans="2:30" x14ac:dyDescent="0.15">
      <c r="B15" s="306" t="s">
        <v>199</v>
      </c>
      <c r="C15" s="300" t="s">
        <v>208</v>
      </c>
      <c r="D15" s="300" t="s">
        <v>255</v>
      </c>
      <c r="E15" s="399"/>
      <c r="F15" s="399"/>
      <c r="G15" s="399"/>
      <c r="H15" s="408">
        <f t="shared" si="0"/>
        <v>0</v>
      </c>
      <c r="I15" s="407">
        <v>150000</v>
      </c>
      <c r="J15" s="313">
        <f t="shared" si="1"/>
        <v>0</v>
      </c>
      <c r="L15" s="306" t="s">
        <v>199</v>
      </c>
      <c r="M15" s="300" t="s">
        <v>208</v>
      </c>
      <c r="N15" s="300" t="s">
        <v>255</v>
      </c>
      <c r="O15" s="316">
        <f t="shared" si="4"/>
        <v>0</v>
      </c>
      <c r="P15" s="316">
        <f t="shared" si="5"/>
        <v>0</v>
      </c>
      <c r="Q15" s="316">
        <f t="shared" si="6"/>
        <v>0</v>
      </c>
      <c r="R15" s="405">
        <f t="shared" si="7"/>
        <v>0</v>
      </c>
      <c r="S15" s="405">
        <f t="shared" si="8"/>
        <v>8998.2003599280142</v>
      </c>
      <c r="T15" s="301"/>
      <c r="V15" s="306" t="s">
        <v>199</v>
      </c>
      <c r="W15" s="300" t="s">
        <v>208</v>
      </c>
      <c r="X15" s="300" t="s">
        <v>255</v>
      </c>
      <c r="Y15" s="318">
        <f t="shared" si="9"/>
        <v>0</v>
      </c>
      <c r="Z15" s="318">
        <f t="shared" si="10"/>
        <v>0</v>
      </c>
      <c r="AA15" s="318">
        <f t="shared" si="11"/>
        <v>0</v>
      </c>
      <c r="AB15" s="406">
        <f t="shared" si="12"/>
        <v>0</v>
      </c>
      <c r="AC15" s="406">
        <f t="shared" si="13"/>
        <v>6726.4573991031384</v>
      </c>
      <c r="AD15" s="301"/>
    </row>
    <row r="16" spans="2:30" x14ac:dyDescent="0.15">
      <c r="B16" s="306" t="s">
        <v>249</v>
      </c>
      <c r="C16" s="300" t="s">
        <v>208</v>
      </c>
      <c r="D16" s="300" t="s">
        <v>255</v>
      </c>
      <c r="E16" s="399"/>
      <c r="F16" s="399"/>
      <c r="G16" s="399"/>
      <c r="H16" s="408">
        <f t="shared" si="0"/>
        <v>0</v>
      </c>
      <c r="I16" s="407">
        <v>300000</v>
      </c>
      <c r="J16" s="313">
        <f t="shared" si="1"/>
        <v>0</v>
      </c>
      <c r="L16" s="306" t="s">
        <v>200</v>
      </c>
      <c r="M16" s="300" t="s">
        <v>208</v>
      </c>
      <c r="N16" s="300" t="s">
        <v>255</v>
      </c>
      <c r="O16" s="316">
        <f t="shared" si="4"/>
        <v>0</v>
      </c>
      <c r="P16" s="316">
        <f t="shared" si="5"/>
        <v>0</v>
      </c>
      <c r="Q16" s="316">
        <f t="shared" si="6"/>
        <v>0</v>
      </c>
      <c r="R16" s="405">
        <f t="shared" si="7"/>
        <v>0</v>
      </c>
      <c r="S16" s="405">
        <f t="shared" si="8"/>
        <v>17996.400719856028</v>
      </c>
      <c r="T16" s="301"/>
      <c r="V16" s="306" t="s">
        <v>200</v>
      </c>
      <c r="W16" s="300" t="s">
        <v>208</v>
      </c>
      <c r="X16" s="300" t="s">
        <v>255</v>
      </c>
      <c r="Y16" s="318">
        <f t="shared" si="9"/>
        <v>0</v>
      </c>
      <c r="Z16" s="318">
        <f t="shared" si="10"/>
        <v>0</v>
      </c>
      <c r="AA16" s="318">
        <f t="shared" si="11"/>
        <v>0</v>
      </c>
      <c r="AB16" s="406">
        <f t="shared" si="12"/>
        <v>0</v>
      </c>
      <c r="AC16" s="406">
        <f t="shared" si="13"/>
        <v>13452.914798206277</v>
      </c>
      <c r="AD16" s="301"/>
    </row>
    <row r="17" spans="2:30" x14ac:dyDescent="0.15">
      <c r="B17" s="306" t="s">
        <v>201</v>
      </c>
      <c r="C17" s="300" t="s">
        <v>208</v>
      </c>
      <c r="D17" s="300" t="s">
        <v>255</v>
      </c>
      <c r="E17" s="399"/>
      <c r="F17" s="399"/>
      <c r="G17" s="399"/>
      <c r="H17" s="408">
        <f t="shared" si="0"/>
        <v>0</v>
      </c>
      <c r="I17" s="407">
        <v>300000</v>
      </c>
      <c r="J17" s="313">
        <f t="shared" si="1"/>
        <v>0</v>
      </c>
      <c r="L17" s="306" t="s">
        <v>201</v>
      </c>
      <c r="M17" s="300" t="s">
        <v>208</v>
      </c>
      <c r="N17" s="300" t="s">
        <v>255</v>
      </c>
      <c r="O17" s="316">
        <f t="shared" si="4"/>
        <v>0</v>
      </c>
      <c r="P17" s="316">
        <f t="shared" si="5"/>
        <v>0</v>
      </c>
      <c r="Q17" s="316">
        <f t="shared" si="6"/>
        <v>0</v>
      </c>
      <c r="R17" s="405">
        <f t="shared" si="7"/>
        <v>0</v>
      </c>
      <c r="S17" s="405">
        <f t="shared" si="8"/>
        <v>17996.400719856028</v>
      </c>
      <c r="T17" s="301"/>
      <c r="V17" s="306" t="s">
        <v>201</v>
      </c>
      <c r="W17" s="300" t="s">
        <v>208</v>
      </c>
      <c r="X17" s="300" t="s">
        <v>255</v>
      </c>
      <c r="Y17" s="318">
        <f t="shared" si="9"/>
        <v>0</v>
      </c>
      <c r="Z17" s="318">
        <f t="shared" si="10"/>
        <v>0</v>
      </c>
      <c r="AA17" s="318">
        <f t="shared" si="11"/>
        <v>0</v>
      </c>
      <c r="AB17" s="406">
        <f t="shared" si="12"/>
        <v>0</v>
      </c>
      <c r="AC17" s="406">
        <f t="shared" si="13"/>
        <v>13452.914798206277</v>
      </c>
      <c r="AD17" s="301"/>
    </row>
    <row r="18" spans="2:30" x14ac:dyDescent="0.15">
      <c r="B18" s="306" t="s">
        <v>202</v>
      </c>
      <c r="C18" s="300" t="s">
        <v>208</v>
      </c>
      <c r="D18" s="300" t="s">
        <v>255</v>
      </c>
      <c r="E18" s="399"/>
      <c r="F18" s="399"/>
      <c r="G18" s="399"/>
      <c r="H18" s="408">
        <f t="shared" si="0"/>
        <v>0</v>
      </c>
      <c r="I18" s="407">
        <v>0</v>
      </c>
      <c r="J18" s="313" t="e">
        <f t="shared" si="1"/>
        <v>#DIV/0!</v>
      </c>
      <c r="L18" s="306" t="s">
        <v>202</v>
      </c>
      <c r="M18" s="300" t="s">
        <v>208</v>
      </c>
      <c r="N18" s="300" t="s">
        <v>255</v>
      </c>
      <c r="O18" s="316">
        <f t="shared" si="4"/>
        <v>0</v>
      </c>
      <c r="P18" s="316">
        <f t="shared" si="5"/>
        <v>0</v>
      </c>
      <c r="Q18" s="316">
        <f t="shared" si="6"/>
        <v>0</v>
      </c>
      <c r="R18" s="405">
        <f t="shared" si="7"/>
        <v>0</v>
      </c>
      <c r="S18" s="405">
        <f t="shared" si="8"/>
        <v>0</v>
      </c>
      <c r="T18" s="301"/>
      <c r="V18" s="306" t="s">
        <v>202</v>
      </c>
      <c r="W18" s="300" t="s">
        <v>208</v>
      </c>
      <c r="X18" s="300" t="s">
        <v>255</v>
      </c>
      <c r="Y18" s="318">
        <f t="shared" si="9"/>
        <v>0</v>
      </c>
      <c r="Z18" s="318">
        <f t="shared" si="10"/>
        <v>0</v>
      </c>
      <c r="AA18" s="318">
        <f t="shared" si="11"/>
        <v>0</v>
      </c>
      <c r="AB18" s="406">
        <f t="shared" si="12"/>
        <v>0</v>
      </c>
      <c r="AC18" s="406">
        <f t="shared" si="13"/>
        <v>0</v>
      </c>
      <c r="AD18" s="301"/>
    </row>
    <row r="19" spans="2:30" x14ac:dyDescent="0.15">
      <c r="B19" s="306" t="s">
        <v>203</v>
      </c>
      <c r="C19" s="300" t="s">
        <v>208</v>
      </c>
      <c r="D19" s="300" t="s">
        <v>255</v>
      </c>
      <c r="E19" s="399"/>
      <c r="F19" s="399"/>
      <c r="G19" s="399"/>
      <c r="H19" s="408">
        <f t="shared" si="0"/>
        <v>0</v>
      </c>
      <c r="I19" s="407">
        <v>0</v>
      </c>
      <c r="J19" s="313" t="e">
        <f t="shared" si="1"/>
        <v>#DIV/0!</v>
      </c>
      <c r="L19" s="306" t="s">
        <v>203</v>
      </c>
      <c r="M19" s="300" t="s">
        <v>208</v>
      </c>
      <c r="N19" s="300" t="s">
        <v>255</v>
      </c>
      <c r="O19" s="316">
        <f t="shared" si="4"/>
        <v>0</v>
      </c>
      <c r="P19" s="316">
        <f t="shared" si="5"/>
        <v>0</v>
      </c>
      <c r="Q19" s="316">
        <f t="shared" si="6"/>
        <v>0</v>
      </c>
      <c r="R19" s="405">
        <f t="shared" si="7"/>
        <v>0</v>
      </c>
      <c r="S19" s="405">
        <f t="shared" si="8"/>
        <v>0</v>
      </c>
      <c r="T19" s="301"/>
      <c r="V19" s="306" t="s">
        <v>203</v>
      </c>
      <c r="W19" s="300" t="s">
        <v>208</v>
      </c>
      <c r="X19" s="300" t="s">
        <v>255</v>
      </c>
      <c r="Y19" s="318">
        <f t="shared" si="9"/>
        <v>0</v>
      </c>
      <c r="Z19" s="318">
        <f t="shared" si="10"/>
        <v>0</v>
      </c>
      <c r="AA19" s="318">
        <f t="shared" si="11"/>
        <v>0</v>
      </c>
      <c r="AB19" s="406">
        <f t="shared" si="12"/>
        <v>0</v>
      </c>
      <c r="AC19" s="406">
        <f t="shared" si="13"/>
        <v>0</v>
      </c>
      <c r="AD19" s="301"/>
    </row>
    <row r="20" spans="2:30" x14ac:dyDescent="0.15">
      <c r="B20" s="306" t="s">
        <v>204</v>
      </c>
      <c r="C20" s="300" t="s">
        <v>208</v>
      </c>
      <c r="D20" s="300" t="s">
        <v>255</v>
      </c>
      <c r="E20" s="399"/>
      <c r="F20" s="399"/>
      <c r="G20" s="399"/>
      <c r="H20" s="408">
        <f t="shared" si="0"/>
        <v>0</v>
      </c>
      <c r="I20" s="407">
        <v>0</v>
      </c>
      <c r="J20" s="313" t="e">
        <f t="shared" si="1"/>
        <v>#DIV/0!</v>
      </c>
      <c r="L20" s="306" t="s">
        <v>204</v>
      </c>
      <c r="M20" s="300" t="s">
        <v>208</v>
      </c>
      <c r="N20" s="300" t="s">
        <v>255</v>
      </c>
      <c r="O20" s="316">
        <f t="shared" si="4"/>
        <v>0</v>
      </c>
      <c r="P20" s="316">
        <f t="shared" si="5"/>
        <v>0</v>
      </c>
      <c r="Q20" s="316">
        <f t="shared" si="6"/>
        <v>0</v>
      </c>
      <c r="R20" s="405">
        <f t="shared" si="7"/>
        <v>0</v>
      </c>
      <c r="S20" s="405">
        <f t="shared" si="8"/>
        <v>0</v>
      </c>
      <c r="T20" s="301"/>
      <c r="V20" s="306" t="s">
        <v>204</v>
      </c>
      <c r="W20" s="300" t="s">
        <v>208</v>
      </c>
      <c r="X20" s="300" t="s">
        <v>255</v>
      </c>
      <c r="Y20" s="318">
        <f t="shared" si="9"/>
        <v>0</v>
      </c>
      <c r="Z20" s="318">
        <f t="shared" si="10"/>
        <v>0</v>
      </c>
      <c r="AA20" s="318">
        <f t="shared" si="11"/>
        <v>0</v>
      </c>
      <c r="AB20" s="406">
        <f t="shared" si="12"/>
        <v>0</v>
      </c>
      <c r="AC20" s="406">
        <f t="shared" si="13"/>
        <v>0</v>
      </c>
      <c r="AD20" s="301"/>
    </row>
    <row r="21" spans="2:30" x14ac:dyDescent="0.15">
      <c r="B21" s="306" t="s">
        <v>253</v>
      </c>
      <c r="C21" s="300" t="s">
        <v>208</v>
      </c>
      <c r="D21" s="300" t="s">
        <v>254</v>
      </c>
      <c r="E21" s="400">
        <f>'S4 Cloud Contractor Data'!C94</f>
        <v>0</v>
      </c>
      <c r="F21" s="400">
        <f>'S4 Cloud Contractor Data'!D94</f>
        <v>0</v>
      </c>
      <c r="G21" s="400">
        <f>'S4 Cloud Contractor Data'!E94</f>
        <v>0</v>
      </c>
      <c r="H21" s="408">
        <f>SUM(E21:G21)</f>
        <v>0</v>
      </c>
      <c r="I21" s="408">
        <v>375000</v>
      </c>
      <c r="J21" s="313">
        <f t="shared" si="1"/>
        <v>0</v>
      </c>
      <c r="L21" s="306" t="s">
        <v>253</v>
      </c>
      <c r="M21" s="300" t="s">
        <v>208</v>
      </c>
      <c r="N21" s="300" t="s">
        <v>254</v>
      </c>
      <c r="O21" s="316">
        <f>E21/$M$2</f>
        <v>0</v>
      </c>
      <c r="P21" s="316">
        <f>F21/$M$2</f>
        <v>0</v>
      </c>
      <c r="Q21" s="316">
        <f>G21/$M$2</f>
        <v>0</v>
      </c>
      <c r="R21" s="405">
        <f>H21/$M$2</f>
        <v>0</v>
      </c>
      <c r="S21" s="405">
        <f>I21/$M$2</f>
        <v>22495.500899820032</v>
      </c>
      <c r="T21" s="313">
        <v>0</v>
      </c>
      <c r="V21" s="306" t="s">
        <v>253</v>
      </c>
      <c r="W21" s="300" t="s">
        <v>208</v>
      </c>
      <c r="X21" s="300" t="s">
        <v>254</v>
      </c>
      <c r="Y21" s="318">
        <f>E21/$W$2</f>
        <v>0</v>
      </c>
      <c r="Z21" s="318">
        <f>F21/$W$2</f>
        <v>0</v>
      </c>
      <c r="AA21" s="318">
        <f>G21/$W$2</f>
        <v>0</v>
      </c>
      <c r="AB21" s="406">
        <f>H21/$W$2</f>
        <v>0</v>
      </c>
      <c r="AC21" s="406">
        <f>I21/$W$2</f>
        <v>16816.143497757846</v>
      </c>
      <c r="AD21" s="313">
        <v>0</v>
      </c>
    </row>
    <row r="22" spans="2:30" x14ac:dyDescent="0.15">
      <c r="B22" s="306" t="s">
        <v>212</v>
      </c>
      <c r="C22" s="300" t="s">
        <v>209</v>
      </c>
      <c r="D22" s="300" t="s">
        <v>254</v>
      </c>
      <c r="E22" s="400">
        <f>'S4 Cloud Contractor Data'!C84</f>
        <v>29200</v>
      </c>
      <c r="F22" s="400">
        <f>'S4 Cloud Contractor Data'!D84</f>
        <v>29200</v>
      </c>
      <c r="G22" s="400">
        <f>'S4 Cloud Contractor Data'!E84</f>
        <v>25200</v>
      </c>
      <c r="H22" s="408">
        <f>SUM(E22:G22)</f>
        <v>83600</v>
      </c>
      <c r="I22" s="408">
        <v>340000</v>
      </c>
      <c r="J22" s="313">
        <f t="shared" si="1"/>
        <v>0.24588235294117647</v>
      </c>
      <c r="L22" s="306" t="s">
        <v>212</v>
      </c>
      <c r="M22" s="300" t="s">
        <v>209</v>
      </c>
      <c r="N22" s="300" t="s">
        <v>254</v>
      </c>
      <c r="O22" s="316">
        <f t="shared" si="4"/>
        <v>1751.6496700659866</v>
      </c>
      <c r="P22" s="316">
        <f t="shared" si="5"/>
        <v>1751.6496700659866</v>
      </c>
      <c r="Q22" s="316">
        <f t="shared" si="6"/>
        <v>1511.6976604679062</v>
      </c>
      <c r="R22" s="405">
        <f t="shared" si="7"/>
        <v>5014.9970005998794</v>
      </c>
      <c r="S22" s="405">
        <f t="shared" si="8"/>
        <v>20395.920815836831</v>
      </c>
      <c r="T22" s="313">
        <f>R22/S22</f>
        <v>0.24588235294117647</v>
      </c>
      <c r="V22" s="306" t="s">
        <v>212</v>
      </c>
      <c r="W22" s="300" t="s">
        <v>209</v>
      </c>
      <c r="X22" s="300" t="s">
        <v>254</v>
      </c>
      <c r="Y22" s="318">
        <f t="shared" si="9"/>
        <v>1309.4170403587443</v>
      </c>
      <c r="Z22" s="318">
        <f t="shared" si="10"/>
        <v>1309.4170403587443</v>
      </c>
      <c r="AA22" s="318">
        <f t="shared" si="11"/>
        <v>1130.0448430493273</v>
      </c>
      <c r="AB22" s="406">
        <f t="shared" si="12"/>
        <v>3748.8789237668161</v>
      </c>
      <c r="AC22" s="406">
        <f t="shared" si="13"/>
        <v>15246.636771300447</v>
      </c>
      <c r="AD22" s="313">
        <f>AB22/AC22</f>
        <v>0.2458823529411765</v>
      </c>
    </row>
    <row r="23" spans="2:30" x14ac:dyDescent="0.15">
      <c r="B23" s="306" t="s">
        <v>205</v>
      </c>
      <c r="C23" s="300" t="s">
        <v>209</v>
      </c>
      <c r="D23" s="300" t="s">
        <v>254</v>
      </c>
      <c r="E23" s="400">
        <f>'S4 Cloud Contractor Data'!C86</f>
        <v>96880</v>
      </c>
      <c r="F23" s="400">
        <f>'S4 Cloud Contractor Data'!D86</f>
        <v>96880</v>
      </c>
      <c r="G23" s="400">
        <f>'S4 Cloud Contractor Data'!E86</f>
        <v>92880</v>
      </c>
      <c r="H23" s="408">
        <f t="shared" ref="H23:H27" si="14">SUM(E23:G23)</f>
        <v>286640</v>
      </c>
      <c r="I23" s="408">
        <v>277875</v>
      </c>
      <c r="J23" s="313">
        <f t="shared" ref="J23:J27" si="15">H23/I23</f>
        <v>1.0315429599640127</v>
      </c>
      <c r="L23" s="306" t="s">
        <v>205</v>
      </c>
      <c r="M23" s="300" t="s">
        <v>209</v>
      </c>
      <c r="N23" s="300" t="s">
        <v>254</v>
      </c>
      <c r="O23" s="316">
        <f t="shared" si="4"/>
        <v>5811.6376724655065</v>
      </c>
      <c r="P23" s="316">
        <f t="shared" si="5"/>
        <v>5811.6376724655065</v>
      </c>
      <c r="Q23" s="316">
        <f t="shared" si="6"/>
        <v>5571.6856628674259</v>
      </c>
      <c r="R23" s="405">
        <f t="shared" si="7"/>
        <v>17194.96100779844</v>
      </c>
      <c r="S23" s="405">
        <f t="shared" si="8"/>
        <v>16669.166166766645</v>
      </c>
      <c r="T23" s="313">
        <f t="shared" ref="T23:T27" si="16">R23/S23</f>
        <v>1.0315429599640127</v>
      </c>
      <c r="V23" s="306" t="s">
        <v>205</v>
      </c>
      <c r="W23" s="300" t="s">
        <v>209</v>
      </c>
      <c r="X23" s="300" t="s">
        <v>254</v>
      </c>
      <c r="Y23" s="318">
        <f t="shared" si="9"/>
        <v>4344.3946188340806</v>
      </c>
      <c r="Z23" s="318">
        <f t="shared" si="10"/>
        <v>4344.3946188340806</v>
      </c>
      <c r="AA23" s="318">
        <f t="shared" si="11"/>
        <v>4165.0224215246635</v>
      </c>
      <c r="AB23" s="406">
        <f t="shared" si="12"/>
        <v>12853.811659192825</v>
      </c>
      <c r="AC23" s="406">
        <f t="shared" si="13"/>
        <v>12460.762331838565</v>
      </c>
      <c r="AD23" s="313">
        <f t="shared" ref="AD23:AD27" si="17">AB23/AC23</f>
        <v>1.0315429599640125</v>
      </c>
    </row>
    <row r="24" spans="2:30" x14ac:dyDescent="0.15">
      <c r="B24" s="306" t="s">
        <v>213</v>
      </c>
      <c r="C24" s="300" t="s">
        <v>209</v>
      </c>
      <c r="D24" s="300" t="s">
        <v>254</v>
      </c>
      <c r="E24" s="400">
        <f>'S4 Cloud Contractor Data'!C89</f>
        <v>20800</v>
      </c>
      <c r="F24" s="400">
        <f>'S4 Cloud Contractor Data'!D89</f>
        <v>20800</v>
      </c>
      <c r="G24" s="400">
        <f>'S4 Cloud Contractor Data'!E89</f>
        <v>20800</v>
      </c>
      <c r="H24" s="408">
        <f t="shared" si="14"/>
        <v>62400</v>
      </c>
      <c r="I24" s="408">
        <v>150000</v>
      </c>
      <c r="J24" s="313">
        <f t="shared" si="15"/>
        <v>0.41599999999999998</v>
      </c>
      <c r="L24" s="306" t="s">
        <v>213</v>
      </c>
      <c r="M24" s="300" t="s">
        <v>209</v>
      </c>
      <c r="N24" s="300" t="s">
        <v>254</v>
      </c>
      <c r="O24" s="316">
        <f t="shared" si="4"/>
        <v>1247.7504499100178</v>
      </c>
      <c r="P24" s="316">
        <f t="shared" si="5"/>
        <v>1247.7504499100178</v>
      </c>
      <c r="Q24" s="316">
        <f t="shared" si="6"/>
        <v>1247.7504499100178</v>
      </c>
      <c r="R24" s="405">
        <f t="shared" si="7"/>
        <v>3743.2513497300538</v>
      </c>
      <c r="S24" s="405">
        <f t="shared" si="8"/>
        <v>8998.2003599280142</v>
      </c>
      <c r="T24" s="313">
        <f t="shared" si="16"/>
        <v>0.41599999999999998</v>
      </c>
      <c r="V24" s="306" t="s">
        <v>213</v>
      </c>
      <c r="W24" s="300" t="s">
        <v>209</v>
      </c>
      <c r="X24" s="300" t="s">
        <v>254</v>
      </c>
      <c r="Y24" s="318">
        <f t="shared" si="9"/>
        <v>932.7354260089686</v>
      </c>
      <c r="Z24" s="318">
        <f t="shared" si="10"/>
        <v>932.7354260089686</v>
      </c>
      <c r="AA24" s="318">
        <f t="shared" si="11"/>
        <v>932.7354260089686</v>
      </c>
      <c r="AB24" s="406">
        <f t="shared" si="12"/>
        <v>2798.2062780269057</v>
      </c>
      <c r="AC24" s="406">
        <f t="shared" si="13"/>
        <v>6726.4573991031384</v>
      </c>
      <c r="AD24" s="313">
        <f t="shared" si="17"/>
        <v>0.41600000000000004</v>
      </c>
    </row>
    <row r="25" spans="2:30" x14ac:dyDescent="0.15">
      <c r="B25" s="306" t="s">
        <v>206</v>
      </c>
      <c r="C25" s="300" t="s">
        <v>209</v>
      </c>
      <c r="D25" s="300" t="s">
        <v>254</v>
      </c>
      <c r="E25" s="400">
        <f>'S4 Cloud Contractor Data'!C88</f>
        <v>46880</v>
      </c>
      <c r="F25" s="400">
        <f>'S4 Cloud Contractor Data'!D88</f>
        <v>46880</v>
      </c>
      <c r="G25" s="400">
        <f>'S4 Cloud Contractor Data'!E88</f>
        <v>46880</v>
      </c>
      <c r="H25" s="408">
        <f t="shared" si="14"/>
        <v>140640</v>
      </c>
      <c r="I25" s="408">
        <v>350000</v>
      </c>
      <c r="J25" s="313">
        <f t="shared" si="15"/>
        <v>0.40182857142857142</v>
      </c>
      <c r="L25" s="306" t="s">
        <v>206</v>
      </c>
      <c r="M25" s="300" t="s">
        <v>209</v>
      </c>
      <c r="N25" s="300" t="s">
        <v>254</v>
      </c>
      <c r="O25" s="316">
        <f t="shared" si="4"/>
        <v>2812.2375524895019</v>
      </c>
      <c r="P25" s="316">
        <f t="shared" si="5"/>
        <v>2812.2375524895019</v>
      </c>
      <c r="Q25" s="316">
        <f t="shared" si="6"/>
        <v>2812.2375524895019</v>
      </c>
      <c r="R25" s="405">
        <f t="shared" si="7"/>
        <v>8436.7126574685062</v>
      </c>
      <c r="S25" s="405">
        <f t="shared" si="8"/>
        <v>20995.800839832031</v>
      </c>
      <c r="T25" s="313">
        <f t="shared" si="16"/>
        <v>0.40182857142857148</v>
      </c>
      <c r="V25" s="306" t="s">
        <v>206</v>
      </c>
      <c r="W25" s="300" t="s">
        <v>209</v>
      </c>
      <c r="X25" s="300" t="s">
        <v>254</v>
      </c>
      <c r="Y25" s="318">
        <f t="shared" si="9"/>
        <v>2102.2421524663678</v>
      </c>
      <c r="Z25" s="318">
        <f t="shared" si="10"/>
        <v>2102.2421524663678</v>
      </c>
      <c r="AA25" s="318">
        <f t="shared" si="11"/>
        <v>2102.2421524663678</v>
      </c>
      <c r="AB25" s="406">
        <f t="shared" si="12"/>
        <v>6306.7264573991033</v>
      </c>
      <c r="AC25" s="406">
        <f t="shared" si="13"/>
        <v>15695.067264573991</v>
      </c>
      <c r="AD25" s="313">
        <f t="shared" si="17"/>
        <v>0.40182857142857148</v>
      </c>
    </row>
    <row r="26" spans="2:30" x14ac:dyDescent="0.15">
      <c r="B26" s="306" t="s">
        <v>214</v>
      </c>
      <c r="C26" s="300" t="s">
        <v>209</v>
      </c>
      <c r="D26" s="300" t="s">
        <v>254</v>
      </c>
      <c r="E26" s="400">
        <f>'S4 Cloud Contractor Data'!C85</f>
        <v>74825</v>
      </c>
      <c r="F26" s="400">
        <f>'S4 Cloud Contractor Data'!D85</f>
        <v>74825</v>
      </c>
      <c r="G26" s="400">
        <f>'S4 Cloud Contractor Data'!E85</f>
        <v>74825</v>
      </c>
      <c r="H26" s="408">
        <f t="shared" si="14"/>
        <v>224475</v>
      </c>
      <c r="I26" s="408">
        <v>440000</v>
      </c>
      <c r="J26" s="313">
        <f t="shared" si="15"/>
        <v>0.51017045454545451</v>
      </c>
      <c r="L26" s="306" t="s">
        <v>214</v>
      </c>
      <c r="M26" s="300" t="s">
        <v>209</v>
      </c>
      <c r="N26" s="300" t="s">
        <v>254</v>
      </c>
      <c r="O26" s="316">
        <f t="shared" si="4"/>
        <v>4488.6022795440904</v>
      </c>
      <c r="P26" s="316">
        <f t="shared" si="5"/>
        <v>4488.6022795440904</v>
      </c>
      <c r="Q26" s="316">
        <f t="shared" si="6"/>
        <v>4488.6022795440904</v>
      </c>
      <c r="R26" s="405">
        <f t="shared" si="7"/>
        <v>13465.806838632272</v>
      </c>
      <c r="S26" s="405">
        <f t="shared" si="8"/>
        <v>26394.721055788839</v>
      </c>
      <c r="T26" s="313">
        <f t="shared" si="16"/>
        <v>0.51017045454545451</v>
      </c>
      <c r="V26" s="306" t="s">
        <v>214</v>
      </c>
      <c r="W26" s="300" t="s">
        <v>209</v>
      </c>
      <c r="X26" s="300" t="s">
        <v>254</v>
      </c>
      <c r="Y26" s="318">
        <f t="shared" si="9"/>
        <v>3355.3811659192825</v>
      </c>
      <c r="Z26" s="318">
        <f t="shared" si="10"/>
        <v>3355.3811659192825</v>
      </c>
      <c r="AA26" s="318">
        <f t="shared" si="11"/>
        <v>3355.3811659192825</v>
      </c>
      <c r="AB26" s="406">
        <f t="shared" si="12"/>
        <v>10066.143497757846</v>
      </c>
      <c r="AC26" s="406">
        <f t="shared" si="13"/>
        <v>19730.941704035875</v>
      </c>
      <c r="AD26" s="313">
        <f t="shared" si="17"/>
        <v>0.51017045454545451</v>
      </c>
    </row>
    <row r="27" spans="2:30" x14ac:dyDescent="0.15">
      <c r="B27" s="306" t="s">
        <v>215</v>
      </c>
      <c r="C27" s="300" t="s">
        <v>209</v>
      </c>
      <c r="D27" s="300" t="s">
        <v>254</v>
      </c>
      <c r="E27" s="400">
        <f>'S4 Cloud Contractor Data'!C87</f>
        <v>0</v>
      </c>
      <c r="F27" s="400">
        <f>'S4 Cloud Contractor Data'!D87</f>
        <v>0</v>
      </c>
      <c r="G27" s="400">
        <f>'S4 Cloud Contractor Data'!E87</f>
        <v>0</v>
      </c>
      <c r="H27" s="408">
        <f t="shared" si="14"/>
        <v>0</v>
      </c>
      <c r="I27" s="408">
        <v>340000</v>
      </c>
      <c r="J27" s="313">
        <f t="shared" si="15"/>
        <v>0</v>
      </c>
      <c r="L27" s="306" t="s">
        <v>215</v>
      </c>
      <c r="M27" s="300" t="s">
        <v>209</v>
      </c>
      <c r="N27" s="300" t="s">
        <v>254</v>
      </c>
      <c r="O27" s="316">
        <f t="shared" si="4"/>
        <v>0</v>
      </c>
      <c r="P27" s="316">
        <f t="shared" si="5"/>
        <v>0</v>
      </c>
      <c r="Q27" s="316">
        <f t="shared" si="6"/>
        <v>0</v>
      </c>
      <c r="R27" s="405">
        <f t="shared" si="7"/>
        <v>0</v>
      </c>
      <c r="S27" s="405">
        <f t="shared" si="8"/>
        <v>20395.920815836831</v>
      </c>
      <c r="T27" s="313">
        <f t="shared" si="16"/>
        <v>0</v>
      </c>
      <c r="V27" s="306" t="s">
        <v>215</v>
      </c>
      <c r="W27" s="300" t="s">
        <v>209</v>
      </c>
      <c r="X27" s="300" t="s">
        <v>254</v>
      </c>
      <c r="Y27" s="318">
        <f t="shared" si="9"/>
        <v>0</v>
      </c>
      <c r="Z27" s="318">
        <f t="shared" si="10"/>
        <v>0</v>
      </c>
      <c r="AA27" s="318">
        <f t="shared" si="11"/>
        <v>0</v>
      </c>
      <c r="AB27" s="406">
        <f t="shared" si="12"/>
        <v>0</v>
      </c>
      <c r="AC27" s="406">
        <f t="shared" si="13"/>
        <v>15246.636771300447</v>
      </c>
      <c r="AD27" s="313">
        <f t="shared" si="17"/>
        <v>0</v>
      </c>
    </row>
    <row r="28" spans="2:30" x14ac:dyDescent="0.15">
      <c r="B28" s="307"/>
      <c r="C28" s="300"/>
      <c r="D28" s="300"/>
      <c r="E28" s="399"/>
      <c r="F28" s="399"/>
      <c r="G28" s="399"/>
      <c r="H28" s="312"/>
      <c r="I28" s="312"/>
      <c r="J28" s="301"/>
      <c r="L28" s="307"/>
      <c r="M28" s="300"/>
      <c r="N28" s="300"/>
      <c r="O28" s="316"/>
      <c r="P28" s="316"/>
      <c r="Q28" s="316"/>
      <c r="R28" s="405">
        <f t="shared" si="7"/>
        <v>0</v>
      </c>
      <c r="S28" s="405">
        <f t="shared" si="8"/>
        <v>0</v>
      </c>
      <c r="T28" s="301"/>
      <c r="V28" s="307"/>
      <c r="W28" s="300"/>
      <c r="X28" s="300"/>
      <c r="Y28" s="318"/>
      <c r="Z28" s="318"/>
      <c r="AA28" s="318"/>
      <c r="AB28" s="406">
        <f t="shared" si="12"/>
        <v>0</v>
      </c>
      <c r="AC28" s="406">
        <f t="shared" si="13"/>
        <v>0</v>
      </c>
      <c r="AD28" s="301"/>
    </row>
    <row r="29" spans="2:30" x14ac:dyDescent="0.15">
      <c r="B29" s="307"/>
      <c r="C29" s="300"/>
      <c r="D29" s="300"/>
      <c r="E29" s="301"/>
      <c r="F29" s="301"/>
      <c r="G29" s="301"/>
      <c r="H29" s="312"/>
      <c r="I29" s="312"/>
      <c r="J29" s="301"/>
      <c r="L29" s="307"/>
      <c r="M29" s="300"/>
      <c r="N29" s="300"/>
      <c r="O29" s="316"/>
      <c r="P29" s="316"/>
      <c r="Q29" s="316"/>
      <c r="R29" s="405">
        <f t="shared" si="7"/>
        <v>0</v>
      </c>
      <c r="S29" s="405">
        <f t="shared" si="8"/>
        <v>0</v>
      </c>
      <c r="T29" s="301"/>
      <c r="V29" s="307"/>
      <c r="W29" s="300"/>
      <c r="X29" s="300"/>
      <c r="Y29" s="318"/>
      <c r="Z29" s="318"/>
      <c r="AA29" s="318"/>
      <c r="AB29" s="406">
        <f t="shared" si="12"/>
        <v>0</v>
      </c>
      <c r="AC29" s="406">
        <f t="shared" si="13"/>
        <v>0</v>
      </c>
      <c r="AD29" s="301"/>
    </row>
    <row r="30" spans="2:30" x14ac:dyDescent="0.15">
      <c r="B30" s="307"/>
      <c r="C30" s="300"/>
      <c r="D30" s="300"/>
      <c r="E30" s="301"/>
      <c r="F30" s="301"/>
      <c r="G30" s="301"/>
      <c r="H30" s="312"/>
      <c r="I30" s="312"/>
      <c r="J30" s="301"/>
      <c r="L30" s="307"/>
      <c r="M30" s="300"/>
      <c r="N30" s="300"/>
      <c r="O30" s="316"/>
      <c r="P30" s="316"/>
      <c r="Q30" s="316"/>
      <c r="R30" s="405">
        <f t="shared" si="7"/>
        <v>0</v>
      </c>
      <c r="S30" s="405">
        <f t="shared" si="8"/>
        <v>0</v>
      </c>
      <c r="T30" s="301"/>
      <c r="V30" s="307"/>
      <c r="W30" s="300"/>
      <c r="X30" s="300"/>
      <c r="Y30" s="318"/>
      <c r="Z30" s="318"/>
      <c r="AA30" s="318"/>
      <c r="AB30" s="406">
        <f t="shared" si="12"/>
        <v>0</v>
      </c>
      <c r="AC30" s="406">
        <f t="shared" si="13"/>
        <v>0</v>
      </c>
      <c r="AD30" s="301"/>
    </row>
    <row r="31" spans="2:30" x14ac:dyDescent="0.15">
      <c r="B31" s="307"/>
      <c r="C31" s="300"/>
      <c r="D31" s="300"/>
      <c r="E31" s="301"/>
      <c r="F31" s="301"/>
      <c r="G31" s="301"/>
      <c r="H31" s="312"/>
      <c r="I31" s="312"/>
      <c r="J31" s="301"/>
      <c r="L31" s="307"/>
      <c r="M31" s="300"/>
      <c r="N31" s="300"/>
      <c r="O31" s="316"/>
      <c r="P31" s="316"/>
      <c r="Q31" s="316"/>
      <c r="R31" s="405">
        <f t="shared" si="7"/>
        <v>0</v>
      </c>
      <c r="S31" s="405">
        <f t="shared" si="8"/>
        <v>0</v>
      </c>
      <c r="T31" s="301"/>
      <c r="V31" s="307"/>
      <c r="W31" s="300"/>
      <c r="X31" s="300"/>
      <c r="Y31" s="318"/>
      <c r="Z31" s="318"/>
      <c r="AA31" s="318"/>
      <c r="AB31" s="406">
        <f t="shared" si="12"/>
        <v>0</v>
      </c>
      <c r="AC31" s="406">
        <f t="shared" si="13"/>
        <v>0</v>
      </c>
      <c r="AD31" s="301"/>
    </row>
    <row r="32" spans="2:30" s="321" customFormat="1" ht="15" customHeight="1" x14ac:dyDescent="0.2">
      <c r="B32" s="404" t="s">
        <v>216</v>
      </c>
      <c r="C32" s="404"/>
      <c r="D32" s="404"/>
      <c r="E32" s="409">
        <f>SUM(E5:E31)</f>
        <v>444685</v>
      </c>
      <c r="F32" s="409">
        <f>SUM(F5:F31)</f>
        <v>296185</v>
      </c>
      <c r="G32" s="409">
        <f>SUM(G5:G31)</f>
        <v>288185</v>
      </c>
      <c r="H32" s="409">
        <f>SUM(H5:H31)</f>
        <v>1029055</v>
      </c>
      <c r="I32" s="409">
        <f>SUM(I5:I31)</f>
        <v>8310875</v>
      </c>
      <c r="J32" s="410">
        <f t="shared" ref="J32:J34" si="18">H32/I32</f>
        <v>0.12382029569690316</v>
      </c>
      <c r="L32" s="404" t="s">
        <v>216</v>
      </c>
      <c r="M32" s="404"/>
      <c r="N32" s="404"/>
      <c r="O32" s="411">
        <f t="shared" ref="O32:O34" si="19">E32/$M$2</f>
        <v>26675.76484703059</v>
      </c>
      <c r="P32" s="411">
        <f t="shared" ref="P32:P34" si="20">F32/$M$2</f>
        <v>17767.546490701858</v>
      </c>
      <c r="Q32" s="411">
        <f t="shared" ref="Q32:Q34" si="21">G32/$M$2</f>
        <v>17287.642471505696</v>
      </c>
      <c r="R32" s="411">
        <f t="shared" si="7"/>
        <v>61730.953809238148</v>
      </c>
      <c r="S32" s="411">
        <f t="shared" si="8"/>
        <v>498552.78944211151</v>
      </c>
      <c r="T32" s="410">
        <f t="shared" ref="T32:T34" si="22">R32/S32</f>
        <v>0.12382029569690316</v>
      </c>
      <c r="V32" s="404" t="s">
        <v>216</v>
      </c>
      <c r="W32" s="404"/>
      <c r="X32" s="404"/>
      <c r="Y32" s="412">
        <f t="shared" ref="Y32:Y34" si="23">E32/$W$2</f>
        <v>19941.031390134529</v>
      </c>
      <c r="Z32" s="412">
        <f t="shared" ref="Z32:Z34" si="24">F32/$W$2</f>
        <v>13281.838565022421</v>
      </c>
      <c r="AA32" s="412">
        <f t="shared" ref="AA32:AA34" si="25">G32/$W$2</f>
        <v>12923.094170403587</v>
      </c>
      <c r="AB32" s="412">
        <f t="shared" si="12"/>
        <v>46145.964125560538</v>
      </c>
      <c r="AC32" s="412">
        <f t="shared" si="13"/>
        <v>372684.97757847531</v>
      </c>
      <c r="AD32" s="410">
        <f t="shared" ref="AD32:AD34" si="26">AB32/AC32</f>
        <v>0.12382029569690316</v>
      </c>
    </row>
    <row r="33" spans="2:30" s="321" customFormat="1" ht="15" customHeight="1" x14ac:dyDescent="0.2">
      <c r="B33" s="404" t="s">
        <v>251</v>
      </c>
      <c r="C33" s="404"/>
      <c r="D33" s="404"/>
      <c r="E33" s="413">
        <f>SUM(E5:E20)</f>
        <v>176100</v>
      </c>
      <c r="F33" s="413">
        <f>SUM(F5:F20)</f>
        <v>27600</v>
      </c>
      <c r="G33" s="413">
        <f>SUM(G5:G20)</f>
        <v>27600</v>
      </c>
      <c r="H33" s="413">
        <f>SUM(H5:H20)</f>
        <v>231300</v>
      </c>
      <c r="I33" s="413">
        <f>SUM(I5:I20)</f>
        <v>6038000</v>
      </c>
      <c r="J33" s="410">
        <f t="shared" si="18"/>
        <v>3.8307386551838359E-2</v>
      </c>
      <c r="L33" s="404" t="s">
        <v>210</v>
      </c>
      <c r="M33" s="404"/>
      <c r="N33" s="404"/>
      <c r="O33" s="411">
        <f t="shared" si="19"/>
        <v>10563.887222555488</v>
      </c>
      <c r="P33" s="411">
        <f t="shared" si="20"/>
        <v>1655.6688662267545</v>
      </c>
      <c r="Q33" s="411">
        <f t="shared" si="21"/>
        <v>1655.6688662267545</v>
      </c>
      <c r="R33" s="411">
        <f t="shared" si="7"/>
        <v>13875.224955008996</v>
      </c>
      <c r="S33" s="411">
        <f t="shared" si="8"/>
        <v>362207.55848830228</v>
      </c>
      <c r="T33" s="410">
        <f t="shared" si="22"/>
        <v>3.8307386551838359E-2</v>
      </c>
      <c r="V33" s="404" t="s">
        <v>210</v>
      </c>
      <c r="W33" s="404"/>
      <c r="X33" s="404"/>
      <c r="Y33" s="412">
        <f t="shared" si="23"/>
        <v>7896.8609865470853</v>
      </c>
      <c r="Z33" s="412">
        <f t="shared" si="24"/>
        <v>1237.6681614349775</v>
      </c>
      <c r="AA33" s="412">
        <f t="shared" si="25"/>
        <v>1237.6681614349775</v>
      </c>
      <c r="AB33" s="412">
        <f t="shared" si="12"/>
        <v>10372.197309417041</v>
      </c>
      <c r="AC33" s="412">
        <f t="shared" si="13"/>
        <v>270762.33183856501</v>
      </c>
      <c r="AD33" s="410">
        <f t="shared" si="26"/>
        <v>3.8307386551838359E-2</v>
      </c>
    </row>
    <row r="34" spans="2:30" s="321" customFormat="1" ht="15" customHeight="1" x14ac:dyDescent="0.2">
      <c r="B34" s="404" t="s">
        <v>252</v>
      </c>
      <c r="C34" s="404"/>
      <c r="D34" s="404"/>
      <c r="E34" s="413">
        <f>SUM(E22:E27)</f>
        <v>268585</v>
      </c>
      <c r="F34" s="413">
        <f>SUM(F22:F27)</f>
        <v>268585</v>
      </c>
      <c r="G34" s="413">
        <f>SUM(G22:G27)</f>
        <v>260585</v>
      </c>
      <c r="H34" s="413">
        <f>SUM(H21:H27)</f>
        <v>797755</v>
      </c>
      <c r="I34" s="413">
        <f>SUM(I21:I27)</f>
        <v>2272875</v>
      </c>
      <c r="J34" s="410">
        <f>H34/I34</f>
        <v>0.35098938568993016</v>
      </c>
      <c r="L34" s="404" t="s">
        <v>211</v>
      </c>
      <c r="M34" s="404"/>
      <c r="N34" s="404"/>
      <c r="O34" s="411">
        <f t="shared" si="19"/>
        <v>16111.877624475102</v>
      </c>
      <c r="P34" s="411">
        <f t="shared" si="20"/>
        <v>16111.877624475102</v>
      </c>
      <c r="Q34" s="411">
        <f t="shared" si="21"/>
        <v>15631.973605278943</v>
      </c>
      <c r="R34" s="411">
        <f t="shared" si="7"/>
        <v>47855.72885422915</v>
      </c>
      <c r="S34" s="411">
        <f t="shared" si="8"/>
        <v>136345.23095380922</v>
      </c>
      <c r="T34" s="410">
        <f t="shared" si="22"/>
        <v>0.35098938568993016</v>
      </c>
      <c r="V34" s="404" t="s">
        <v>211</v>
      </c>
      <c r="W34" s="404"/>
      <c r="X34" s="404"/>
      <c r="Y34" s="412">
        <f t="shared" si="23"/>
        <v>12044.170403587443</v>
      </c>
      <c r="Z34" s="412">
        <f t="shared" si="24"/>
        <v>12044.170403587443</v>
      </c>
      <c r="AA34" s="412">
        <f t="shared" si="25"/>
        <v>11685.426008968609</v>
      </c>
      <c r="AB34" s="412">
        <f t="shared" si="12"/>
        <v>35773.766816143499</v>
      </c>
      <c r="AC34" s="412">
        <f t="shared" si="13"/>
        <v>101922.64573991031</v>
      </c>
      <c r="AD34" s="410">
        <f t="shared" si="26"/>
        <v>0.35098938568993021</v>
      </c>
    </row>
    <row r="35" spans="2:30" s="321" customFormat="1" ht="15" customHeight="1" x14ac:dyDescent="0.2">
      <c r="B35" s="404" t="s">
        <v>208</v>
      </c>
      <c r="C35" s="404"/>
      <c r="D35" s="404"/>
      <c r="E35" s="414">
        <f>'Perm NFI data'!H32</f>
        <v>148500</v>
      </c>
      <c r="F35" s="414">
        <f>'Perm NFI data'!H33</f>
        <v>0</v>
      </c>
      <c r="G35" s="414">
        <f>'Perm NFI data'!H34</f>
        <v>0</v>
      </c>
      <c r="H35" s="413">
        <f>SUM(E35:G35)</f>
        <v>148500</v>
      </c>
      <c r="I35" s="415"/>
      <c r="J35" s="415"/>
      <c r="L35" s="404" t="s">
        <v>208</v>
      </c>
      <c r="M35" s="404"/>
      <c r="N35" s="404"/>
      <c r="O35" s="411">
        <f t="shared" ref="O35:O36" si="27">E35/$M$2</f>
        <v>8908.2183563287326</v>
      </c>
      <c r="P35" s="411">
        <f t="shared" ref="P35:P36" si="28">F35/$M$2</f>
        <v>0</v>
      </c>
      <c r="Q35" s="411">
        <f t="shared" ref="Q35:Q36" si="29">G35/$M$2</f>
        <v>0</v>
      </c>
      <c r="R35" s="411">
        <f t="shared" ref="R35:R36" si="30">H35/$M$2</f>
        <v>8908.2183563287326</v>
      </c>
      <c r="S35" s="415"/>
      <c r="T35" s="415"/>
      <c r="V35" s="404" t="s">
        <v>208</v>
      </c>
      <c r="W35" s="404"/>
      <c r="X35" s="404"/>
      <c r="Y35" s="412">
        <f t="shared" ref="Y35:Y36" si="31">E35/$W$2</f>
        <v>6659.1928251121071</v>
      </c>
      <c r="Z35" s="412">
        <f t="shared" ref="Z35:Z36" si="32">F35/$W$2</f>
        <v>0</v>
      </c>
      <c r="AA35" s="412">
        <f t="shared" ref="AA35:AA36" si="33">G35/$W$2</f>
        <v>0</v>
      </c>
      <c r="AB35" s="412">
        <f t="shared" ref="AB35:AB36" si="34">H35/$W$2</f>
        <v>6659.1928251121071</v>
      </c>
      <c r="AC35" s="415"/>
      <c r="AD35" s="415"/>
    </row>
    <row r="36" spans="2:30" s="321" customFormat="1" ht="15" customHeight="1" x14ac:dyDescent="0.2">
      <c r="B36" s="404" t="s">
        <v>250</v>
      </c>
      <c r="C36" s="404"/>
      <c r="D36" s="404"/>
      <c r="E36" s="414">
        <f>'S4 Cloud Contractor Data'!C95</f>
        <v>296185</v>
      </c>
      <c r="F36" s="414">
        <f>'S4 Cloud Contractor Data'!D95</f>
        <v>296185</v>
      </c>
      <c r="G36" s="414">
        <f>'S4 Cloud Contractor Data'!E95</f>
        <v>288185</v>
      </c>
      <c r="H36" s="413">
        <f>SUM(E36:G36)</f>
        <v>880555</v>
      </c>
      <c r="I36" s="415"/>
      <c r="J36" s="415"/>
      <c r="L36" s="404" t="s">
        <v>250</v>
      </c>
      <c r="M36" s="404"/>
      <c r="N36" s="404"/>
      <c r="O36" s="411">
        <f t="shared" si="27"/>
        <v>17767.546490701858</v>
      </c>
      <c r="P36" s="411">
        <f t="shared" si="28"/>
        <v>17767.546490701858</v>
      </c>
      <c r="Q36" s="411">
        <f t="shared" si="29"/>
        <v>17287.642471505696</v>
      </c>
      <c r="R36" s="411">
        <f t="shared" si="30"/>
        <v>52822.735452909415</v>
      </c>
      <c r="S36" s="415"/>
      <c r="T36" s="415"/>
      <c r="V36" s="404" t="s">
        <v>250</v>
      </c>
      <c r="W36" s="404"/>
      <c r="X36" s="404"/>
      <c r="Y36" s="412">
        <f t="shared" si="31"/>
        <v>13281.838565022421</v>
      </c>
      <c r="Z36" s="412">
        <f t="shared" si="32"/>
        <v>13281.838565022421</v>
      </c>
      <c r="AA36" s="412">
        <f t="shared" si="33"/>
        <v>12923.094170403587</v>
      </c>
      <c r="AB36" s="412">
        <f t="shared" si="34"/>
        <v>39486.771300448432</v>
      </c>
      <c r="AC36" s="415"/>
      <c r="AD36" s="415"/>
    </row>
  </sheetData>
  <pageMargins left="0.7" right="0.7" top="0.75" bottom="0.75" header="0.3" footer="0.3"/>
  <ignoredErrors>
    <ignoredError sqref="I33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2DCE-28AE-1743-A351-54F2EFDA6E06}">
  <dimension ref="B2:AD38"/>
  <sheetViews>
    <sheetView zoomScale="140" zoomScaleNormal="140" workbookViewId="0">
      <selection activeCell="G26" sqref="G26"/>
    </sheetView>
  </sheetViews>
  <sheetFormatPr baseColWidth="10" defaultRowHeight="16" x14ac:dyDescent="0.2"/>
  <cols>
    <col min="2" max="2" width="16.33203125" bestFit="1" customWidth="1"/>
    <col min="3" max="3" width="8.6640625" bestFit="1" customWidth="1"/>
    <col min="4" max="4" width="7.83203125" bestFit="1" customWidth="1"/>
    <col min="11" max="11" width="3.5" customWidth="1"/>
    <col min="12" max="12" width="16.33203125" bestFit="1" customWidth="1"/>
    <col min="14" max="14" width="7.83203125" bestFit="1" customWidth="1"/>
    <col min="21" max="21" width="4" customWidth="1"/>
    <col min="22" max="22" width="16.33203125" bestFit="1" customWidth="1"/>
    <col min="24" max="24" width="7.83203125" bestFit="1" customWidth="1"/>
  </cols>
  <sheetData>
    <row r="2" spans="2:30" s="298" customFormat="1" ht="11" x14ac:dyDescent="0.15">
      <c r="B2" s="303" t="s">
        <v>217</v>
      </c>
      <c r="C2" s="299"/>
      <c r="D2" s="299"/>
      <c r="L2" s="302" t="s">
        <v>218</v>
      </c>
      <c r="M2" s="315">
        <v>16.670000000000002</v>
      </c>
      <c r="V2" s="302" t="s">
        <v>219</v>
      </c>
      <c r="W2" s="315">
        <v>22.3</v>
      </c>
    </row>
    <row r="3" spans="2:30" s="298" customFormat="1" ht="11" x14ac:dyDescent="0.15">
      <c r="B3" s="299"/>
      <c r="C3" s="299"/>
      <c r="D3" s="299"/>
    </row>
    <row r="4" spans="2:30" s="298" customFormat="1" ht="11" x14ac:dyDescent="0.15">
      <c r="B4" s="305" t="s">
        <v>125</v>
      </c>
      <c r="C4" s="305" t="s">
        <v>188</v>
      </c>
      <c r="D4" s="305" t="s">
        <v>189</v>
      </c>
      <c r="E4" s="305" t="s">
        <v>183</v>
      </c>
      <c r="F4" s="305" t="s">
        <v>43</v>
      </c>
      <c r="G4" s="305" t="s">
        <v>184</v>
      </c>
      <c r="H4" s="305" t="s">
        <v>185</v>
      </c>
      <c r="I4" s="305" t="s">
        <v>186</v>
      </c>
      <c r="J4" s="305" t="s">
        <v>187</v>
      </c>
      <c r="L4" s="305" t="s">
        <v>125</v>
      </c>
      <c r="M4" s="305" t="s">
        <v>188</v>
      </c>
      <c r="N4" s="305" t="s">
        <v>189</v>
      </c>
      <c r="O4" s="305" t="s">
        <v>183</v>
      </c>
      <c r="P4" s="305" t="s">
        <v>43</v>
      </c>
      <c r="Q4" s="305" t="s">
        <v>184</v>
      </c>
      <c r="R4" s="305" t="s">
        <v>185</v>
      </c>
      <c r="S4" s="305" t="s">
        <v>186</v>
      </c>
      <c r="T4" s="305" t="s">
        <v>187</v>
      </c>
      <c r="V4" s="305" t="s">
        <v>125</v>
      </c>
      <c r="W4" s="305" t="s">
        <v>188</v>
      </c>
      <c r="X4" s="305" t="s">
        <v>189</v>
      </c>
      <c r="Y4" s="305" t="s">
        <v>183</v>
      </c>
      <c r="Z4" s="305" t="s">
        <v>43</v>
      </c>
      <c r="AA4" s="305" t="s">
        <v>184</v>
      </c>
      <c r="AB4" s="305" t="s">
        <v>185</v>
      </c>
      <c r="AC4" s="305" t="s">
        <v>186</v>
      </c>
      <c r="AD4" s="305" t="s">
        <v>187</v>
      </c>
    </row>
    <row r="5" spans="2:30" s="298" customFormat="1" ht="11" x14ac:dyDescent="0.15">
      <c r="B5" s="308" t="s">
        <v>167</v>
      </c>
      <c r="C5" s="300" t="s">
        <v>208</v>
      </c>
      <c r="D5" s="300" t="s">
        <v>220</v>
      </c>
      <c r="E5" s="304">
        <v>0</v>
      </c>
      <c r="F5" s="304">
        <v>0</v>
      </c>
      <c r="G5" s="304">
        <v>0</v>
      </c>
      <c r="H5" s="310"/>
      <c r="I5" s="309">
        <v>900000</v>
      </c>
      <c r="J5" s="301"/>
      <c r="L5" s="308" t="s">
        <v>167</v>
      </c>
      <c r="M5" s="300" t="s">
        <v>208</v>
      </c>
      <c r="N5" s="300" t="s">
        <v>220</v>
      </c>
      <c r="O5" s="316">
        <f>E5/$M$2</f>
        <v>0</v>
      </c>
      <c r="P5" s="316">
        <f t="shared" ref="P5:S20" si="0">F5/$M$2</f>
        <v>0</v>
      </c>
      <c r="Q5" s="316">
        <f t="shared" si="0"/>
        <v>0</v>
      </c>
      <c r="R5" s="317">
        <f>H5/$M$2</f>
        <v>0</v>
      </c>
      <c r="S5" s="317">
        <f>I5/$M$2</f>
        <v>53989.202159568078</v>
      </c>
      <c r="T5" s="301"/>
      <c r="V5" s="308" t="s">
        <v>167</v>
      </c>
      <c r="W5" s="300" t="s">
        <v>208</v>
      </c>
      <c r="X5" s="300" t="s">
        <v>220</v>
      </c>
      <c r="Y5" s="318">
        <f>E5/$W$2</f>
        <v>0</v>
      </c>
      <c r="Z5" s="318">
        <f t="shared" ref="Z5:AC20" si="1">F5/$W$2</f>
        <v>0</v>
      </c>
      <c r="AA5" s="318">
        <f t="shared" si="1"/>
        <v>0</v>
      </c>
      <c r="AB5" s="319">
        <f>H5/$W$2</f>
        <v>0</v>
      </c>
      <c r="AC5" s="319">
        <f>I5/$W$2</f>
        <v>40358.744394618836</v>
      </c>
      <c r="AD5" s="301"/>
    </row>
    <row r="6" spans="2:30" s="298" customFormat="1" ht="11" x14ac:dyDescent="0.15">
      <c r="B6" s="308" t="s">
        <v>190</v>
      </c>
      <c r="C6" s="300" t="s">
        <v>208</v>
      </c>
      <c r="D6" s="300" t="s">
        <v>220</v>
      </c>
      <c r="E6" s="304">
        <v>0</v>
      </c>
      <c r="F6" s="304">
        <v>0</v>
      </c>
      <c r="G6" s="304">
        <v>0</v>
      </c>
      <c r="H6" s="310"/>
      <c r="I6" s="309">
        <v>900000</v>
      </c>
      <c r="J6" s="301"/>
      <c r="L6" s="308" t="s">
        <v>190</v>
      </c>
      <c r="M6" s="300" t="s">
        <v>208</v>
      </c>
      <c r="N6" s="300" t="s">
        <v>220</v>
      </c>
      <c r="O6" s="316">
        <f t="shared" ref="O6:S27" si="2">E6/$M$2</f>
        <v>0</v>
      </c>
      <c r="P6" s="316">
        <f t="shared" si="0"/>
        <v>0</v>
      </c>
      <c r="Q6" s="316">
        <f t="shared" si="0"/>
        <v>0</v>
      </c>
      <c r="R6" s="317">
        <f t="shared" si="0"/>
        <v>0</v>
      </c>
      <c r="S6" s="317">
        <f t="shared" si="0"/>
        <v>53989.202159568078</v>
      </c>
      <c r="T6" s="301"/>
      <c r="V6" s="308" t="s">
        <v>190</v>
      </c>
      <c r="W6" s="300" t="s">
        <v>208</v>
      </c>
      <c r="X6" s="300" t="s">
        <v>220</v>
      </c>
      <c r="Y6" s="318">
        <f t="shared" ref="Y6:AC27" si="3">E6/$W$2</f>
        <v>0</v>
      </c>
      <c r="Z6" s="318">
        <f t="shared" si="1"/>
        <v>0</v>
      </c>
      <c r="AA6" s="318">
        <f t="shared" si="1"/>
        <v>0</v>
      </c>
      <c r="AB6" s="319">
        <f t="shared" si="1"/>
        <v>0</v>
      </c>
      <c r="AC6" s="319">
        <f t="shared" si="1"/>
        <v>40358.744394618836</v>
      </c>
      <c r="AD6" s="301"/>
    </row>
    <row r="7" spans="2:30" s="298" customFormat="1" ht="11" x14ac:dyDescent="0.15">
      <c r="B7" s="308" t="s">
        <v>191</v>
      </c>
      <c r="C7" s="300" t="s">
        <v>208</v>
      </c>
      <c r="D7" s="300" t="s">
        <v>220</v>
      </c>
      <c r="E7" s="304">
        <v>0</v>
      </c>
      <c r="F7" s="304">
        <v>0</v>
      </c>
      <c r="G7" s="304">
        <v>0</v>
      </c>
      <c r="H7" s="310"/>
      <c r="I7" s="309">
        <v>525000</v>
      </c>
      <c r="J7" s="301"/>
      <c r="L7" s="308" t="s">
        <v>191</v>
      </c>
      <c r="M7" s="300" t="s">
        <v>208</v>
      </c>
      <c r="N7" s="300" t="s">
        <v>220</v>
      </c>
      <c r="O7" s="316">
        <f t="shared" si="2"/>
        <v>0</v>
      </c>
      <c r="P7" s="316">
        <f t="shared" si="0"/>
        <v>0</v>
      </c>
      <c r="Q7" s="316">
        <f t="shared" si="0"/>
        <v>0</v>
      </c>
      <c r="R7" s="317">
        <f t="shared" si="0"/>
        <v>0</v>
      </c>
      <c r="S7" s="317">
        <f t="shared" si="0"/>
        <v>31493.701259748046</v>
      </c>
      <c r="T7" s="301"/>
      <c r="V7" s="308" t="s">
        <v>191</v>
      </c>
      <c r="W7" s="300" t="s">
        <v>208</v>
      </c>
      <c r="X7" s="300" t="s">
        <v>220</v>
      </c>
      <c r="Y7" s="318">
        <f t="shared" si="3"/>
        <v>0</v>
      </c>
      <c r="Z7" s="318">
        <f t="shared" si="1"/>
        <v>0</v>
      </c>
      <c r="AA7" s="318">
        <f t="shared" si="1"/>
        <v>0</v>
      </c>
      <c r="AB7" s="319">
        <f t="shared" si="1"/>
        <v>0</v>
      </c>
      <c r="AC7" s="319">
        <f t="shared" si="1"/>
        <v>23542.600896860986</v>
      </c>
      <c r="AD7" s="301"/>
    </row>
    <row r="8" spans="2:30" s="298" customFormat="1" ht="11" x14ac:dyDescent="0.15">
      <c r="B8" s="308" t="s">
        <v>192</v>
      </c>
      <c r="C8" s="300" t="s">
        <v>208</v>
      </c>
      <c r="D8" s="300" t="s">
        <v>220</v>
      </c>
      <c r="E8" s="304">
        <v>0</v>
      </c>
      <c r="F8" s="304">
        <v>0</v>
      </c>
      <c r="G8" s="304">
        <v>0</v>
      </c>
      <c r="H8" s="310"/>
      <c r="I8" s="309">
        <v>510000</v>
      </c>
      <c r="J8" s="301"/>
      <c r="L8" s="308" t="s">
        <v>192</v>
      </c>
      <c r="M8" s="300" t="s">
        <v>208</v>
      </c>
      <c r="N8" s="300" t="s">
        <v>220</v>
      </c>
      <c r="O8" s="316">
        <f t="shared" si="2"/>
        <v>0</v>
      </c>
      <c r="P8" s="316">
        <f t="shared" si="0"/>
        <v>0</v>
      </c>
      <c r="Q8" s="316">
        <f t="shared" si="0"/>
        <v>0</v>
      </c>
      <c r="R8" s="317">
        <f t="shared" si="0"/>
        <v>0</v>
      </c>
      <c r="S8" s="317">
        <f t="shared" si="0"/>
        <v>30593.881223755245</v>
      </c>
      <c r="T8" s="301"/>
      <c r="V8" s="308" t="s">
        <v>192</v>
      </c>
      <c r="W8" s="300" t="s">
        <v>208</v>
      </c>
      <c r="X8" s="300" t="s">
        <v>220</v>
      </c>
      <c r="Y8" s="318">
        <f t="shared" si="3"/>
        <v>0</v>
      </c>
      <c r="Z8" s="318">
        <f t="shared" si="1"/>
        <v>0</v>
      </c>
      <c r="AA8" s="318">
        <f t="shared" si="1"/>
        <v>0</v>
      </c>
      <c r="AB8" s="319">
        <f t="shared" si="1"/>
        <v>0</v>
      </c>
      <c r="AC8" s="319">
        <f t="shared" si="1"/>
        <v>22869.955156950673</v>
      </c>
      <c r="AD8" s="301"/>
    </row>
    <row r="9" spans="2:30" s="298" customFormat="1" ht="11" x14ac:dyDescent="0.15">
      <c r="B9" s="308" t="s">
        <v>193</v>
      </c>
      <c r="C9" s="300" t="s">
        <v>208</v>
      </c>
      <c r="D9" s="300" t="s">
        <v>220</v>
      </c>
      <c r="E9" s="304">
        <v>0</v>
      </c>
      <c r="F9" s="304">
        <v>0</v>
      </c>
      <c r="G9" s="304">
        <v>0</v>
      </c>
      <c r="H9" s="310"/>
      <c r="I9" s="309">
        <v>450000</v>
      </c>
      <c r="J9" s="301"/>
      <c r="L9" s="308" t="s">
        <v>193</v>
      </c>
      <c r="M9" s="300" t="s">
        <v>208</v>
      </c>
      <c r="N9" s="300" t="s">
        <v>220</v>
      </c>
      <c r="O9" s="316">
        <f t="shared" si="2"/>
        <v>0</v>
      </c>
      <c r="P9" s="316">
        <f t="shared" si="0"/>
        <v>0</v>
      </c>
      <c r="Q9" s="316">
        <f t="shared" si="0"/>
        <v>0</v>
      </c>
      <c r="R9" s="317">
        <f t="shared" si="0"/>
        <v>0</v>
      </c>
      <c r="S9" s="317">
        <f t="shared" si="0"/>
        <v>26994.601079784039</v>
      </c>
      <c r="T9" s="301"/>
      <c r="V9" s="308" t="s">
        <v>193</v>
      </c>
      <c r="W9" s="300" t="s">
        <v>208</v>
      </c>
      <c r="X9" s="300" t="s">
        <v>220</v>
      </c>
      <c r="Y9" s="318">
        <f t="shared" si="3"/>
        <v>0</v>
      </c>
      <c r="Z9" s="318">
        <f t="shared" si="1"/>
        <v>0</v>
      </c>
      <c r="AA9" s="318">
        <f t="shared" si="1"/>
        <v>0</v>
      </c>
      <c r="AB9" s="319">
        <f t="shared" si="1"/>
        <v>0</v>
      </c>
      <c r="AC9" s="319">
        <f t="shared" si="1"/>
        <v>20179.372197309418</v>
      </c>
      <c r="AD9" s="301"/>
    </row>
    <row r="10" spans="2:30" s="298" customFormat="1" ht="11" x14ac:dyDescent="0.15">
      <c r="B10" s="308" t="s">
        <v>194</v>
      </c>
      <c r="C10" s="300" t="s">
        <v>208</v>
      </c>
      <c r="D10" s="300" t="s">
        <v>220</v>
      </c>
      <c r="E10" s="304">
        <v>0</v>
      </c>
      <c r="F10" s="304">
        <v>0</v>
      </c>
      <c r="G10" s="304">
        <v>0</v>
      </c>
      <c r="H10" s="310"/>
      <c r="I10" s="309">
        <v>450000</v>
      </c>
      <c r="J10" s="301"/>
      <c r="L10" s="308" t="s">
        <v>194</v>
      </c>
      <c r="M10" s="300" t="s">
        <v>208</v>
      </c>
      <c r="N10" s="300" t="s">
        <v>220</v>
      </c>
      <c r="O10" s="316">
        <f t="shared" si="2"/>
        <v>0</v>
      </c>
      <c r="P10" s="316">
        <f t="shared" si="0"/>
        <v>0</v>
      </c>
      <c r="Q10" s="316">
        <f t="shared" si="0"/>
        <v>0</v>
      </c>
      <c r="R10" s="317">
        <f t="shared" si="0"/>
        <v>0</v>
      </c>
      <c r="S10" s="317">
        <f t="shared" si="0"/>
        <v>26994.601079784039</v>
      </c>
      <c r="T10" s="301"/>
      <c r="V10" s="308" t="s">
        <v>194</v>
      </c>
      <c r="W10" s="300" t="s">
        <v>208</v>
      </c>
      <c r="X10" s="300" t="s">
        <v>220</v>
      </c>
      <c r="Y10" s="318">
        <f t="shared" si="3"/>
        <v>0</v>
      </c>
      <c r="Z10" s="318">
        <f t="shared" si="1"/>
        <v>0</v>
      </c>
      <c r="AA10" s="318">
        <f t="shared" si="1"/>
        <v>0</v>
      </c>
      <c r="AB10" s="319">
        <f t="shared" si="1"/>
        <v>0</v>
      </c>
      <c r="AC10" s="319">
        <f t="shared" si="1"/>
        <v>20179.372197309418</v>
      </c>
      <c r="AD10" s="301"/>
    </row>
    <row r="11" spans="2:30" s="298" customFormat="1" ht="11" x14ac:dyDescent="0.15">
      <c r="B11" s="308" t="s">
        <v>195</v>
      </c>
      <c r="C11" s="300" t="s">
        <v>208</v>
      </c>
      <c r="D11" s="300" t="s">
        <v>220</v>
      </c>
      <c r="E11" s="304">
        <v>0</v>
      </c>
      <c r="F11" s="304">
        <v>0</v>
      </c>
      <c r="G11" s="304">
        <v>0</v>
      </c>
      <c r="H11" s="310"/>
      <c r="I11" s="309">
        <v>450000</v>
      </c>
      <c r="J11" s="301"/>
      <c r="L11" s="308" t="s">
        <v>195</v>
      </c>
      <c r="M11" s="300" t="s">
        <v>208</v>
      </c>
      <c r="N11" s="300" t="s">
        <v>220</v>
      </c>
      <c r="O11" s="316">
        <f t="shared" si="2"/>
        <v>0</v>
      </c>
      <c r="P11" s="316">
        <f t="shared" si="0"/>
        <v>0</v>
      </c>
      <c r="Q11" s="316">
        <f t="shared" si="0"/>
        <v>0</v>
      </c>
      <c r="R11" s="317">
        <f t="shared" si="0"/>
        <v>0</v>
      </c>
      <c r="S11" s="317">
        <f t="shared" si="0"/>
        <v>26994.601079784039</v>
      </c>
      <c r="T11" s="301"/>
      <c r="V11" s="308" t="s">
        <v>195</v>
      </c>
      <c r="W11" s="300" t="s">
        <v>208</v>
      </c>
      <c r="X11" s="300" t="s">
        <v>220</v>
      </c>
      <c r="Y11" s="318">
        <f t="shared" si="3"/>
        <v>0</v>
      </c>
      <c r="Z11" s="318">
        <f t="shared" si="1"/>
        <v>0</v>
      </c>
      <c r="AA11" s="318">
        <f t="shared" si="1"/>
        <v>0</v>
      </c>
      <c r="AB11" s="319">
        <f t="shared" si="1"/>
        <v>0</v>
      </c>
      <c r="AC11" s="319">
        <f t="shared" si="1"/>
        <v>20179.372197309418</v>
      </c>
      <c r="AD11" s="301"/>
    </row>
    <row r="12" spans="2:30" s="298" customFormat="1" ht="11" x14ac:dyDescent="0.15">
      <c r="B12" s="308" t="s">
        <v>196</v>
      </c>
      <c r="C12" s="300" t="s">
        <v>208</v>
      </c>
      <c r="D12" s="300" t="s">
        <v>220</v>
      </c>
      <c r="E12" s="304">
        <v>0</v>
      </c>
      <c r="F12" s="304">
        <v>0</v>
      </c>
      <c r="G12" s="304">
        <v>0</v>
      </c>
      <c r="H12" s="310"/>
      <c r="I12" s="309">
        <v>648000</v>
      </c>
      <c r="J12" s="301"/>
      <c r="L12" s="308" t="s">
        <v>196</v>
      </c>
      <c r="M12" s="300" t="s">
        <v>208</v>
      </c>
      <c r="N12" s="300" t="s">
        <v>220</v>
      </c>
      <c r="O12" s="316">
        <f t="shared" si="2"/>
        <v>0</v>
      </c>
      <c r="P12" s="316">
        <f t="shared" si="0"/>
        <v>0</v>
      </c>
      <c r="Q12" s="316">
        <f t="shared" si="0"/>
        <v>0</v>
      </c>
      <c r="R12" s="317">
        <f t="shared" si="0"/>
        <v>0</v>
      </c>
      <c r="S12" s="317">
        <f t="shared" si="0"/>
        <v>38872.225554889017</v>
      </c>
      <c r="T12" s="301"/>
      <c r="V12" s="308" t="s">
        <v>196</v>
      </c>
      <c r="W12" s="300" t="s">
        <v>208</v>
      </c>
      <c r="X12" s="300" t="s">
        <v>220</v>
      </c>
      <c r="Y12" s="318">
        <f t="shared" si="3"/>
        <v>0</v>
      </c>
      <c r="Z12" s="318">
        <f t="shared" si="1"/>
        <v>0</v>
      </c>
      <c r="AA12" s="318">
        <f t="shared" si="1"/>
        <v>0</v>
      </c>
      <c r="AB12" s="319">
        <f t="shared" si="1"/>
        <v>0</v>
      </c>
      <c r="AC12" s="319">
        <f t="shared" si="1"/>
        <v>29058.295964125558</v>
      </c>
      <c r="AD12" s="301"/>
    </row>
    <row r="13" spans="2:30" s="298" customFormat="1" ht="11" x14ac:dyDescent="0.15">
      <c r="B13" s="308" t="s">
        <v>197</v>
      </c>
      <c r="C13" s="300" t="s">
        <v>208</v>
      </c>
      <c r="D13" s="300" t="s">
        <v>220</v>
      </c>
      <c r="E13" s="304">
        <v>0</v>
      </c>
      <c r="F13" s="304">
        <v>0</v>
      </c>
      <c r="G13" s="304">
        <v>0</v>
      </c>
      <c r="H13" s="310"/>
      <c r="I13" s="309">
        <v>405000</v>
      </c>
      <c r="J13" s="301"/>
      <c r="L13" s="308" t="s">
        <v>197</v>
      </c>
      <c r="M13" s="300" t="s">
        <v>208</v>
      </c>
      <c r="N13" s="300" t="s">
        <v>220</v>
      </c>
      <c r="O13" s="316">
        <f t="shared" si="2"/>
        <v>0</v>
      </c>
      <c r="P13" s="316">
        <f t="shared" si="0"/>
        <v>0</v>
      </c>
      <c r="Q13" s="316">
        <f t="shared" si="0"/>
        <v>0</v>
      </c>
      <c r="R13" s="317">
        <f t="shared" si="0"/>
        <v>0</v>
      </c>
      <c r="S13" s="317">
        <f t="shared" si="0"/>
        <v>24295.140971805635</v>
      </c>
      <c r="T13" s="301"/>
      <c r="V13" s="308" t="s">
        <v>197</v>
      </c>
      <c r="W13" s="300" t="s">
        <v>208</v>
      </c>
      <c r="X13" s="300" t="s">
        <v>220</v>
      </c>
      <c r="Y13" s="318">
        <f t="shared" si="3"/>
        <v>0</v>
      </c>
      <c r="Z13" s="318">
        <f t="shared" si="1"/>
        <v>0</v>
      </c>
      <c r="AA13" s="318">
        <f t="shared" si="1"/>
        <v>0</v>
      </c>
      <c r="AB13" s="319">
        <f t="shared" si="1"/>
        <v>0</v>
      </c>
      <c r="AC13" s="319">
        <f t="shared" si="1"/>
        <v>18161.434977578476</v>
      </c>
      <c r="AD13" s="301"/>
    </row>
    <row r="14" spans="2:30" s="298" customFormat="1" ht="11" x14ac:dyDescent="0.15">
      <c r="B14" s="308" t="s">
        <v>198</v>
      </c>
      <c r="C14" s="300" t="s">
        <v>208</v>
      </c>
      <c r="D14" s="300" t="s">
        <v>220</v>
      </c>
      <c r="E14" s="304">
        <v>0</v>
      </c>
      <c r="F14" s="304">
        <v>0</v>
      </c>
      <c r="G14" s="304">
        <v>0</v>
      </c>
      <c r="H14" s="310"/>
      <c r="I14" s="309">
        <v>50000</v>
      </c>
      <c r="J14" s="301"/>
      <c r="L14" s="308" t="s">
        <v>198</v>
      </c>
      <c r="M14" s="300" t="s">
        <v>208</v>
      </c>
      <c r="N14" s="300" t="s">
        <v>220</v>
      </c>
      <c r="O14" s="316">
        <f t="shared" si="2"/>
        <v>0</v>
      </c>
      <c r="P14" s="316">
        <f t="shared" si="0"/>
        <v>0</v>
      </c>
      <c r="Q14" s="316">
        <f t="shared" si="0"/>
        <v>0</v>
      </c>
      <c r="R14" s="317">
        <f t="shared" si="0"/>
        <v>0</v>
      </c>
      <c r="S14" s="317">
        <f t="shared" si="0"/>
        <v>2999.4001199760046</v>
      </c>
      <c r="T14" s="301"/>
      <c r="V14" s="308" t="s">
        <v>198</v>
      </c>
      <c r="W14" s="300" t="s">
        <v>208</v>
      </c>
      <c r="X14" s="300" t="s">
        <v>220</v>
      </c>
      <c r="Y14" s="318">
        <f t="shared" si="3"/>
        <v>0</v>
      </c>
      <c r="Z14" s="318">
        <f t="shared" si="1"/>
        <v>0</v>
      </c>
      <c r="AA14" s="318">
        <f t="shared" si="1"/>
        <v>0</v>
      </c>
      <c r="AB14" s="319">
        <f t="shared" si="1"/>
        <v>0</v>
      </c>
      <c r="AC14" s="319">
        <f t="shared" si="1"/>
        <v>2242.1524663677128</v>
      </c>
      <c r="AD14" s="301"/>
    </row>
    <row r="15" spans="2:30" s="298" customFormat="1" ht="11" x14ac:dyDescent="0.15">
      <c r="B15" s="308" t="s">
        <v>199</v>
      </c>
      <c r="C15" s="300" t="s">
        <v>208</v>
      </c>
      <c r="D15" s="300" t="s">
        <v>220</v>
      </c>
      <c r="E15" s="304">
        <v>0</v>
      </c>
      <c r="F15" s="304">
        <v>0</v>
      </c>
      <c r="G15" s="304">
        <v>0</v>
      </c>
      <c r="H15" s="310"/>
      <c r="I15" s="309">
        <v>150000</v>
      </c>
      <c r="J15" s="301"/>
      <c r="L15" s="308" t="s">
        <v>199</v>
      </c>
      <c r="M15" s="300" t="s">
        <v>208</v>
      </c>
      <c r="N15" s="300" t="s">
        <v>220</v>
      </c>
      <c r="O15" s="316">
        <f t="shared" si="2"/>
        <v>0</v>
      </c>
      <c r="P15" s="316">
        <f t="shared" si="0"/>
        <v>0</v>
      </c>
      <c r="Q15" s="316">
        <f t="shared" si="0"/>
        <v>0</v>
      </c>
      <c r="R15" s="317">
        <f t="shared" si="0"/>
        <v>0</v>
      </c>
      <c r="S15" s="317">
        <f t="shared" si="0"/>
        <v>8998.2003599280142</v>
      </c>
      <c r="T15" s="301"/>
      <c r="V15" s="308" t="s">
        <v>199</v>
      </c>
      <c r="W15" s="300" t="s">
        <v>208</v>
      </c>
      <c r="X15" s="300" t="s">
        <v>220</v>
      </c>
      <c r="Y15" s="318">
        <f t="shared" si="3"/>
        <v>0</v>
      </c>
      <c r="Z15" s="318">
        <f t="shared" si="1"/>
        <v>0</v>
      </c>
      <c r="AA15" s="318">
        <f t="shared" si="1"/>
        <v>0</v>
      </c>
      <c r="AB15" s="319">
        <f t="shared" si="1"/>
        <v>0</v>
      </c>
      <c r="AC15" s="319">
        <f t="shared" si="1"/>
        <v>6726.4573991031384</v>
      </c>
      <c r="AD15" s="301"/>
    </row>
    <row r="16" spans="2:30" s="298" customFormat="1" ht="11" x14ac:dyDescent="0.15">
      <c r="B16" s="308" t="s">
        <v>200</v>
      </c>
      <c r="C16" s="300" t="s">
        <v>208</v>
      </c>
      <c r="D16" s="300" t="s">
        <v>220</v>
      </c>
      <c r="E16" s="304">
        <v>0</v>
      </c>
      <c r="F16" s="304">
        <v>0</v>
      </c>
      <c r="G16" s="304">
        <v>0</v>
      </c>
      <c r="H16" s="310"/>
      <c r="I16" s="309">
        <v>300000</v>
      </c>
      <c r="J16" s="301"/>
      <c r="L16" s="308" t="s">
        <v>200</v>
      </c>
      <c r="M16" s="300" t="s">
        <v>208</v>
      </c>
      <c r="N16" s="300" t="s">
        <v>220</v>
      </c>
      <c r="O16" s="316">
        <f t="shared" si="2"/>
        <v>0</v>
      </c>
      <c r="P16" s="316">
        <f t="shared" si="0"/>
        <v>0</v>
      </c>
      <c r="Q16" s="316">
        <f t="shared" si="0"/>
        <v>0</v>
      </c>
      <c r="R16" s="317">
        <f t="shared" si="0"/>
        <v>0</v>
      </c>
      <c r="S16" s="317">
        <f t="shared" si="0"/>
        <v>17996.400719856028</v>
      </c>
      <c r="T16" s="301"/>
      <c r="V16" s="308" t="s">
        <v>200</v>
      </c>
      <c r="W16" s="300" t="s">
        <v>208</v>
      </c>
      <c r="X16" s="300" t="s">
        <v>220</v>
      </c>
      <c r="Y16" s="318">
        <f t="shared" si="3"/>
        <v>0</v>
      </c>
      <c r="Z16" s="318">
        <f t="shared" si="1"/>
        <v>0</v>
      </c>
      <c r="AA16" s="318">
        <f t="shared" si="1"/>
        <v>0</v>
      </c>
      <c r="AB16" s="319">
        <f t="shared" si="1"/>
        <v>0</v>
      </c>
      <c r="AC16" s="319">
        <f t="shared" si="1"/>
        <v>13452.914798206277</v>
      </c>
      <c r="AD16" s="301"/>
    </row>
    <row r="17" spans="2:30" s="298" customFormat="1" ht="11" x14ac:dyDescent="0.15">
      <c r="B17" s="308" t="s">
        <v>201</v>
      </c>
      <c r="C17" s="300" t="s">
        <v>208</v>
      </c>
      <c r="D17" s="300" t="s">
        <v>220</v>
      </c>
      <c r="E17" s="304">
        <v>0</v>
      </c>
      <c r="F17" s="304">
        <v>0</v>
      </c>
      <c r="G17" s="304">
        <v>0</v>
      </c>
      <c r="H17" s="310"/>
      <c r="I17" s="309">
        <v>300000</v>
      </c>
      <c r="J17" s="301"/>
      <c r="L17" s="308" t="s">
        <v>201</v>
      </c>
      <c r="M17" s="300" t="s">
        <v>208</v>
      </c>
      <c r="N17" s="300" t="s">
        <v>220</v>
      </c>
      <c r="O17" s="316">
        <f t="shared" si="2"/>
        <v>0</v>
      </c>
      <c r="P17" s="316">
        <f t="shared" si="0"/>
        <v>0</v>
      </c>
      <c r="Q17" s="316">
        <f t="shared" si="0"/>
        <v>0</v>
      </c>
      <c r="R17" s="317">
        <f t="shared" si="0"/>
        <v>0</v>
      </c>
      <c r="S17" s="317">
        <f t="shared" si="0"/>
        <v>17996.400719856028</v>
      </c>
      <c r="T17" s="301"/>
      <c r="V17" s="308" t="s">
        <v>201</v>
      </c>
      <c r="W17" s="300" t="s">
        <v>208</v>
      </c>
      <c r="X17" s="300" t="s">
        <v>220</v>
      </c>
      <c r="Y17" s="318">
        <f t="shared" si="3"/>
        <v>0</v>
      </c>
      <c r="Z17" s="318">
        <f t="shared" si="1"/>
        <v>0</v>
      </c>
      <c r="AA17" s="318">
        <f t="shared" si="1"/>
        <v>0</v>
      </c>
      <c r="AB17" s="319">
        <f t="shared" si="1"/>
        <v>0</v>
      </c>
      <c r="AC17" s="319">
        <f t="shared" si="1"/>
        <v>13452.914798206277</v>
      </c>
      <c r="AD17" s="301"/>
    </row>
    <row r="18" spans="2:30" s="298" customFormat="1" ht="11" x14ac:dyDescent="0.15">
      <c r="B18" s="308" t="s">
        <v>202</v>
      </c>
      <c r="C18" s="300" t="s">
        <v>208</v>
      </c>
      <c r="D18" s="300" t="s">
        <v>220</v>
      </c>
      <c r="E18" s="304">
        <v>0</v>
      </c>
      <c r="F18" s="304">
        <v>0</v>
      </c>
      <c r="G18" s="304">
        <v>0</v>
      </c>
      <c r="H18" s="310"/>
      <c r="I18" s="309">
        <v>0</v>
      </c>
      <c r="J18" s="301"/>
      <c r="L18" s="308" t="s">
        <v>202</v>
      </c>
      <c r="M18" s="300" t="s">
        <v>208</v>
      </c>
      <c r="N18" s="300" t="s">
        <v>220</v>
      </c>
      <c r="O18" s="316">
        <f t="shared" si="2"/>
        <v>0</v>
      </c>
      <c r="P18" s="316">
        <f t="shared" si="0"/>
        <v>0</v>
      </c>
      <c r="Q18" s="316">
        <f t="shared" si="0"/>
        <v>0</v>
      </c>
      <c r="R18" s="317">
        <f t="shared" si="0"/>
        <v>0</v>
      </c>
      <c r="S18" s="317">
        <f t="shared" si="0"/>
        <v>0</v>
      </c>
      <c r="T18" s="301"/>
      <c r="V18" s="308" t="s">
        <v>202</v>
      </c>
      <c r="W18" s="300" t="s">
        <v>208</v>
      </c>
      <c r="X18" s="300" t="s">
        <v>220</v>
      </c>
      <c r="Y18" s="318">
        <f t="shared" si="3"/>
        <v>0</v>
      </c>
      <c r="Z18" s="318">
        <f t="shared" si="1"/>
        <v>0</v>
      </c>
      <c r="AA18" s="318">
        <f t="shared" si="1"/>
        <v>0</v>
      </c>
      <c r="AB18" s="319">
        <f t="shared" si="1"/>
        <v>0</v>
      </c>
      <c r="AC18" s="319">
        <f t="shared" si="1"/>
        <v>0</v>
      </c>
      <c r="AD18" s="301"/>
    </row>
    <row r="19" spans="2:30" s="298" customFormat="1" ht="11" x14ac:dyDescent="0.15">
      <c r="B19" s="308" t="s">
        <v>203</v>
      </c>
      <c r="C19" s="300" t="s">
        <v>208</v>
      </c>
      <c r="D19" s="300" t="s">
        <v>220</v>
      </c>
      <c r="E19" s="304">
        <v>0</v>
      </c>
      <c r="F19" s="304">
        <v>0</v>
      </c>
      <c r="G19" s="304">
        <v>0</v>
      </c>
      <c r="H19" s="310"/>
      <c r="I19" s="309">
        <v>0</v>
      </c>
      <c r="J19" s="301"/>
      <c r="L19" s="308" t="s">
        <v>203</v>
      </c>
      <c r="M19" s="300" t="s">
        <v>208</v>
      </c>
      <c r="N19" s="300" t="s">
        <v>220</v>
      </c>
      <c r="O19" s="316">
        <f t="shared" si="2"/>
        <v>0</v>
      </c>
      <c r="P19" s="316">
        <f t="shared" si="0"/>
        <v>0</v>
      </c>
      <c r="Q19" s="316">
        <f t="shared" si="0"/>
        <v>0</v>
      </c>
      <c r="R19" s="317">
        <f t="shared" si="0"/>
        <v>0</v>
      </c>
      <c r="S19" s="317">
        <f t="shared" si="0"/>
        <v>0</v>
      </c>
      <c r="T19" s="301"/>
      <c r="V19" s="308" t="s">
        <v>203</v>
      </c>
      <c r="W19" s="300" t="s">
        <v>208</v>
      </c>
      <c r="X19" s="300" t="s">
        <v>220</v>
      </c>
      <c r="Y19" s="318">
        <f t="shared" si="3"/>
        <v>0</v>
      </c>
      <c r="Z19" s="318">
        <f t="shared" si="1"/>
        <v>0</v>
      </c>
      <c r="AA19" s="318">
        <f t="shared" si="1"/>
        <v>0</v>
      </c>
      <c r="AB19" s="319">
        <f t="shared" si="1"/>
        <v>0</v>
      </c>
      <c r="AC19" s="319">
        <f t="shared" si="1"/>
        <v>0</v>
      </c>
      <c r="AD19" s="301"/>
    </row>
    <row r="20" spans="2:30" s="298" customFormat="1" ht="11" x14ac:dyDescent="0.15">
      <c r="B20" s="308" t="s">
        <v>204</v>
      </c>
      <c r="C20" s="300" t="s">
        <v>208</v>
      </c>
      <c r="D20" s="300" t="s">
        <v>220</v>
      </c>
      <c r="E20" s="304">
        <v>0</v>
      </c>
      <c r="F20" s="304">
        <v>0</v>
      </c>
      <c r="G20" s="304">
        <v>0</v>
      </c>
      <c r="H20" s="310"/>
      <c r="I20" s="309">
        <v>0</v>
      </c>
      <c r="J20" s="301"/>
      <c r="L20" s="308" t="s">
        <v>204</v>
      </c>
      <c r="M20" s="300" t="s">
        <v>208</v>
      </c>
      <c r="N20" s="300" t="s">
        <v>220</v>
      </c>
      <c r="O20" s="316">
        <f t="shared" si="2"/>
        <v>0</v>
      </c>
      <c r="P20" s="316">
        <f t="shared" si="0"/>
        <v>0</v>
      </c>
      <c r="Q20" s="316">
        <f t="shared" si="0"/>
        <v>0</v>
      </c>
      <c r="R20" s="317">
        <f t="shared" si="0"/>
        <v>0</v>
      </c>
      <c r="S20" s="317">
        <f t="shared" si="0"/>
        <v>0</v>
      </c>
      <c r="T20" s="301"/>
      <c r="V20" s="308" t="s">
        <v>204</v>
      </c>
      <c r="W20" s="300" t="s">
        <v>208</v>
      </c>
      <c r="X20" s="300" t="s">
        <v>220</v>
      </c>
      <c r="Y20" s="318">
        <f t="shared" si="3"/>
        <v>0</v>
      </c>
      <c r="Z20" s="318">
        <f t="shared" si="1"/>
        <v>0</v>
      </c>
      <c r="AA20" s="318">
        <f t="shared" si="1"/>
        <v>0</v>
      </c>
      <c r="AB20" s="319">
        <f t="shared" si="1"/>
        <v>0</v>
      </c>
      <c r="AC20" s="319">
        <f t="shared" si="1"/>
        <v>0</v>
      </c>
      <c r="AD20" s="301"/>
    </row>
    <row r="21" spans="2:30" s="298" customFormat="1" ht="11" x14ac:dyDescent="0.15">
      <c r="B21" s="308" t="s">
        <v>212</v>
      </c>
      <c r="C21" s="300" t="s">
        <v>209</v>
      </c>
      <c r="D21" s="300" t="s">
        <v>221</v>
      </c>
      <c r="E21" s="304">
        <v>0</v>
      </c>
      <c r="F21" s="304">
        <v>0</v>
      </c>
      <c r="G21" s="304">
        <v>0</v>
      </c>
      <c r="H21" s="311">
        <f>SUM(E21:G21)</f>
        <v>0</v>
      </c>
      <c r="I21" s="311">
        <v>810000</v>
      </c>
      <c r="J21" s="313">
        <f>H21/I21</f>
        <v>0</v>
      </c>
      <c r="L21" s="308" t="s">
        <v>212</v>
      </c>
      <c r="M21" s="300" t="s">
        <v>209</v>
      </c>
      <c r="N21" s="300" t="s">
        <v>221</v>
      </c>
      <c r="O21" s="316">
        <f t="shared" si="2"/>
        <v>0</v>
      </c>
      <c r="P21" s="316">
        <f t="shared" si="2"/>
        <v>0</v>
      </c>
      <c r="Q21" s="316">
        <f t="shared" si="2"/>
        <v>0</v>
      </c>
      <c r="R21" s="317">
        <f t="shared" si="2"/>
        <v>0</v>
      </c>
      <c r="S21" s="317">
        <f t="shared" si="2"/>
        <v>48590.28194361127</v>
      </c>
      <c r="T21" s="313">
        <f>R21/S21</f>
        <v>0</v>
      </c>
      <c r="V21" s="308" t="s">
        <v>212</v>
      </c>
      <c r="W21" s="300" t="s">
        <v>209</v>
      </c>
      <c r="X21" s="300" t="s">
        <v>221</v>
      </c>
      <c r="Y21" s="318">
        <f t="shared" si="3"/>
        <v>0</v>
      </c>
      <c r="Z21" s="318">
        <f t="shared" si="3"/>
        <v>0</v>
      </c>
      <c r="AA21" s="318">
        <f t="shared" si="3"/>
        <v>0</v>
      </c>
      <c r="AB21" s="319">
        <f t="shared" si="3"/>
        <v>0</v>
      </c>
      <c r="AC21" s="319">
        <f t="shared" si="3"/>
        <v>36322.869955156952</v>
      </c>
      <c r="AD21" s="313">
        <f>AB21/AC21</f>
        <v>0</v>
      </c>
    </row>
    <row r="22" spans="2:30" s="298" customFormat="1" ht="11" x14ac:dyDescent="0.15">
      <c r="B22" s="308" t="s">
        <v>207</v>
      </c>
      <c r="C22" s="300" t="s">
        <v>208</v>
      </c>
      <c r="D22" s="300" t="s">
        <v>221</v>
      </c>
      <c r="E22" s="304">
        <v>0</v>
      </c>
      <c r="F22" s="304">
        <v>0</v>
      </c>
      <c r="G22" s="304">
        <v>0</v>
      </c>
      <c r="H22" s="311">
        <f t="shared" ref="H22:H27" si="4">SUM(E22:G22)</f>
        <v>0</v>
      </c>
      <c r="I22" s="311">
        <v>450000</v>
      </c>
      <c r="J22" s="313">
        <v>0</v>
      </c>
      <c r="L22" s="308" t="s">
        <v>207</v>
      </c>
      <c r="M22" s="300" t="s">
        <v>208</v>
      </c>
      <c r="N22" s="300" t="s">
        <v>221</v>
      </c>
      <c r="O22" s="316">
        <f t="shared" si="2"/>
        <v>0</v>
      </c>
      <c r="P22" s="316">
        <f t="shared" si="2"/>
        <v>0</v>
      </c>
      <c r="Q22" s="316">
        <f t="shared" si="2"/>
        <v>0</v>
      </c>
      <c r="R22" s="317">
        <f t="shared" si="2"/>
        <v>0</v>
      </c>
      <c r="S22" s="317">
        <f t="shared" si="2"/>
        <v>26994.601079784039</v>
      </c>
      <c r="T22" s="313">
        <v>0</v>
      </c>
      <c r="V22" s="308" t="s">
        <v>207</v>
      </c>
      <c r="W22" s="300" t="s">
        <v>208</v>
      </c>
      <c r="X22" s="300" t="s">
        <v>221</v>
      </c>
      <c r="Y22" s="318">
        <f t="shared" si="3"/>
        <v>0</v>
      </c>
      <c r="Z22" s="318">
        <f t="shared" si="3"/>
        <v>0</v>
      </c>
      <c r="AA22" s="318">
        <f t="shared" si="3"/>
        <v>0</v>
      </c>
      <c r="AB22" s="319">
        <f t="shared" si="3"/>
        <v>0</v>
      </c>
      <c r="AC22" s="319">
        <f t="shared" si="3"/>
        <v>20179.372197309418</v>
      </c>
      <c r="AD22" s="313">
        <v>0</v>
      </c>
    </row>
    <row r="23" spans="2:30" s="298" customFormat="1" ht="11" x14ac:dyDescent="0.15">
      <c r="B23" s="308" t="s">
        <v>205</v>
      </c>
      <c r="C23" s="300" t="s">
        <v>209</v>
      </c>
      <c r="D23" s="300" t="s">
        <v>221</v>
      </c>
      <c r="E23" s="304">
        <v>0</v>
      </c>
      <c r="F23" s="304">
        <v>0</v>
      </c>
      <c r="G23" s="304">
        <v>0</v>
      </c>
      <c r="H23" s="311">
        <f t="shared" si="4"/>
        <v>0</v>
      </c>
      <c r="I23" s="311">
        <v>520000</v>
      </c>
      <c r="J23" s="313">
        <f t="shared" ref="J23:J27" si="5">H23/I23</f>
        <v>0</v>
      </c>
      <c r="L23" s="308" t="s">
        <v>205</v>
      </c>
      <c r="M23" s="300" t="s">
        <v>209</v>
      </c>
      <c r="N23" s="300" t="s">
        <v>221</v>
      </c>
      <c r="O23" s="316">
        <f t="shared" si="2"/>
        <v>0</v>
      </c>
      <c r="P23" s="316">
        <f t="shared" si="2"/>
        <v>0</v>
      </c>
      <c r="Q23" s="316">
        <f t="shared" si="2"/>
        <v>0</v>
      </c>
      <c r="R23" s="317">
        <f t="shared" si="2"/>
        <v>0</v>
      </c>
      <c r="S23" s="317">
        <f t="shared" si="2"/>
        <v>31193.761247750448</v>
      </c>
      <c r="T23" s="313">
        <f t="shared" ref="T23:T27" si="6">R23/S23</f>
        <v>0</v>
      </c>
      <c r="V23" s="308" t="s">
        <v>205</v>
      </c>
      <c r="W23" s="300" t="s">
        <v>209</v>
      </c>
      <c r="X23" s="300" t="s">
        <v>221</v>
      </c>
      <c r="Y23" s="318">
        <f t="shared" si="3"/>
        <v>0</v>
      </c>
      <c r="Z23" s="318">
        <f t="shared" si="3"/>
        <v>0</v>
      </c>
      <c r="AA23" s="318">
        <f t="shared" si="3"/>
        <v>0</v>
      </c>
      <c r="AB23" s="319">
        <f t="shared" si="3"/>
        <v>0</v>
      </c>
      <c r="AC23" s="319">
        <f t="shared" si="3"/>
        <v>23318.385650224216</v>
      </c>
      <c r="AD23" s="313">
        <f t="shared" ref="AD23:AD27" si="7">AB23/AC23</f>
        <v>0</v>
      </c>
    </row>
    <row r="24" spans="2:30" s="298" customFormat="1" ht="11" x14ac:dyDescent="0.15">
      <c r="B24" s="308" t="s">
        <v>213</v>
      </c>
      <c r="C24" s="300" t="s">
        <v>209</v>
      </c>
      <c r="D24" s="300" t="s">
        <v>221</v>
      </c>
      <c r="E24" s="304">
        <v>0</v>
      </c>
      <c r="F24" s="304">
        <v>0</v>
      </c>
      <c r="G24" s="304">
        <v>0</v>
      </c>
      <c r="H24" s="311">
        <f t="shared" si="4"/>
        <v>0</v>
      </c>
      <c r="I24" s="311">
        <v>350000</v>
      </c>
      <c r="J24" s="313">
        <f t="shared" si="5"/>
        <v>0</v>
      </c>
      <c r="L24" s="308" t="s">
        <v>213</v>
      </c>
      <c r="M24" s="300" t="s">
        <v>209</v>
      </c>
      <c r="N24" s="300" t="s">
        <v>221</v>
      </c>
      <c r="O24" s="316">
        <f t="shared" si="2"/>
        <v>0</v>
      </c>
      <c r="P24" s="316">
        <f t="shared" si="2"/>
        <v>0</v>
      </c>
      <c r="Q24" s="316">
        <f t="shared" si="2"/>
        <v>0</v>
      </c>
      <c r="R24" s="317">
        <f t="shared" si="2"/>
        <v>0</v>
      </c>
      <c r="S24" s="317">
        <f t="shared" si="2"/>
        <v>20995.800839832031</v>
      </c>
      <c r="T24" s="313">
        <f t="shared" si="6"/>
        <v>0</v>
      </c>
      <c r="V24" s="308" t="s">
        <v>213</v>
      </c>
      <c r="W24" s="300" t="s">
        <v>209</v>
      </c>
      <c r="X24" s="300" t="s">
        <v>221</v>
      </c>
      <c r="Y24" s="318">
        <f t="shared" si="3"/>
        <v>0</v>
      </c>
      <c r="Z24" s="318">
        <f t="shared" si="3"/>
        <v>0</v>
      </c>
      <c r="AA24" s="318">
        <f t="shared" si="3"/>
        <v>0</v>
      </c>
      <c r="AB24" s="319">
        <f t="shared" si="3"/>
        <v>0</v>
      </c>
      <c r="AC24" s="319">
        <f t="shared" si="3"/>
        <v>15695.067264573991</v>
      </c>
      <c r="AD24" s="313">
        <f t="shared" si="7"/>
        <v>0</v>
      </c>
    </row>
    <row r="25" spans="2:30" s="298" customFormat="1" ht="11" x14ac:dyDescent="0.15">
      <c r="B25" s="308" t="s">
        <v>206</v>
      </c>
      <c r="C25" s="300" t="s">
        <v>209</v>
      </c>
      <c r="D25" s="300" t="s">
        <v>221</v>
      </c>
      <c r="E25" s="304">
        <v>0</v>
      </c>
      <c r="F25" s="304">
        <v>0</v>
      </c>
      <c r="G25" s="304">
        <v>0</v>
      </c>
      <c r="H25" s="311">
        <f t="shared" si="4"/>
        <v>0</v>
      </c>
      <c r="I25" s="311">
        <v>520000</v>
      </c>
      <c r="J25" s="313">
        <f t="shared" si="5"/>
        <v>0</v>
      </c>
      <c r="L25" s="308" t="s">
        <v>206</v>
      </c>
      <c r="M25" s="300" t="s">
        <v>209</v>
      </c>
      <c r="N25" s="300" t="s">
        <v>221</v>
      </c>
      <c r="O25" s="316">
        <f t="shared" si="2"/>
        <v>0</v>
      </c>
      <c r="P25" s="316">
        <f t="shared" si="2"/>
        <v>0</v>
      </c>
      <c r="Q25" s="316">
        <f t="shared" si="2"/>
        <v>0</v>
      </c>
      <c r="R25" s="317">
        <f t="shared" si="2"/>
        <v>0</v>
      </c>
      <c r="S25" s="317">
        <f t="shared" si="2"/>
        <v>31193.761247750448</v>
      </c>
      <c r="T25" s="313">
        <f t="shared" si="6"/>
        <v>0</v>
      </c>
      <c r="V25" s="308" t="s">
        <v>206</v>
      </c>
      <c r="W25" s="300" t="s">
        <v>209</v>
      </c>
      <c r="X25" s="300" t="s">
        <v>221</v>
      </c>
      <c r="Y25" s="318">
        <f t="shared" si="3"/>
        <v>0</v>
      </c>
      <c r="Z25" s="318">
        <f t="shared" si="3"/>
        <v>0</v>
      </c>
      <c r="AA25" s="318">
        <f t="shared" si="3"/>
        <v>0</v>
      </c>
      <c r="AB25" s="319">
        <f t="shared" si="3"/>
        <v>0</v>
      </c>
      <c r="AC25" s="319">
        <f t="shared" si="3"/>
        <v>23318.385650224216</v>
      </c>
      <c r="AD25" s="313">
        <f t="shared" si="7"/>
        <v>0</v>
      </c>
    </row>
    <row r="26" spans="2:30" s="298" customFormat="1" ht="11" x14ac:dyDescent="0.15">
      <c r="B26" s="308" t="s">
        <v>214</v>
      </c>
      <c r="C26" s="300" t="s">
        <v>209</v>
      </c>
      <c r="D26" s="300" t="s">
        <v>221</v>
      </c>
      <c r="E26" s="304">
        <v>0</v>
      </c>
      <c r="F26" s="304">
        <v>0</v>
      </c>
      <c r="G26" s="304">
        <v>0</v>
      </c>
      <c r="H26" s="311">
        <f t="shared" si="4"/>
        <v>0</v>
      </c>
      <c r="I26" s="311">
        <v>1200000</v>
      </c>
      <c r="J26" s="313">
        <f t="shared" si="5"/>
        <v>0</v>
      </c>
      <c r="L26" s="308" t="s">
        <v>214</v>
      </c>
      <c r="M26" s="300" t="s">
        <v>209</v>
      </c>
      <c r="N26" s="300" t="s">
        <v>221</v>
      </c>
      <c r="O26" s="316">
        <f t="shared" si="2"/>
        <v>0</v>
      </c>
      <c r="P26" s="316">
        <f t="shared" si="2"/>
        <v>0</v>
      </c>
      <c r="Q26" s="316">
        <f t="shared" si="2"/>
        <v>0</v>
      </c>
      <c r="R26" s="317">
        <f t="shared" si="2"/>
        <v>0</v>
      </c>
      <c r="S26" s="317">
        <f t="shared" si="2"/>
        <v>71985.602879424114</v>
      </c>
      <c r="T26" s="313">
        <f t="shared" si="6"/>
        <v>0</v>
      </c>
      <c r="V26" s="308" t="s">
        <v>214</v>
      </c>
      <c r="W26" s="300" t="s">
        <v>209</v>
      </c>
      <c r="X26" s="300" t="s">
        <v>221</v>
      </c>
      <c r="Y26" s="318">
        <f t="shared" si="3"/>
        <v>0</v>
      </c>
      <c r="Z26" s="318">
        <f t="shared" si="3"/>
        <v>0</v>
      </c>
      <c r="AA26" s="318">
        <f t="shared" si="3"/>
        <v>0</v>
      </c>
      <c r="AB26" s="319">
        <f t="shared" si="3"/>
        <v>0</v>
      </c>
      <c r="AC26" s="319">
        <f t="shared" si="3"/>
        <v>53811.659192825107</v>
      </c>
      <c r="AD26" s="313">
        <f t="shared" si="7"/>
        <v>0</v>
      </c>
    </row>
    <row r="27" spans="2:30" s="298" customFormat="1" ht="11" x14ac:dyDescent="0.15">
      <c r="B27" s="308" t="s">
        <v>215</v>
      </c>
      <c r="C27" s="300" t="s">
        <v>209</v>
      </c>
      <c r="D27" s="300" t="s">
        <v>221</v>
      </c>
      <c r="E27" s="304">
        <v>0</v>
      </c>
      <c r="F27" s="304">
        <v>0</v>
      </c>
      <c r="G27" s="304">
        <v>0</v>
      </c>
      <c r="H27" s="311">
        <f t="shared" si="4"/>
        <v>0</v>
      </c>
      <c r="I27" s="311">
        <v>800000</v>
      </c>
      <c r="J27" s="313">
        <f t="shared" si="5"/>
        <v>0</v>
      </c>
      <c r="L27" s="308" t="s">
        <v>215</v>
      </c>
      <c r="M27" s="300" t="s">
        <v>209</v>
      </c>
      <c r="N27" s="300" t="s">
        <v>221</v>
      </c>
      <c r="O27" s="316">
        <f t="shared" si="2"/>
        <v>0</v>
      </c>
      <c r="P27" s="316">
        <f t="shared" si="2"/>
        <v>0</v>
      </c>
      <c r="Q27" s="316">
        <f t="shared" si="2"/>
        <v>0</v>
      </c>
      <c r="R27" s="317">
        <f t="shared" si="2"/>
        <v>0</v>
      </c>
      <c r="S27" s="317">
        <f t="shared" si="2"/>
        <v>47990.401919616073</v>
      </c>
      <c r="T27" s="313">
        <f t="shared" si="6"/>
        <v>0</v>
      </c>
      <c r="V27" s="308" t="s">
        <v>215</v>
      </c>
      <c r="W27" s="300" t="s">
        <v>209</v>
      </c>
      <c r="X27" s="300" t="s">
        <v>221</v>
      </c>
      <c r="Y27" s="318">
        <f t="shared" si="3"/>
        <v>0</v>
      </c>
      <c r="Z27" s="318">
        <f t="shared" si="3"/>
        <v>0</v>
      </c>
      <c r="AA27" s="318">
        <f t="shared" si="3"/>
        <v>0</v>
      </c>
      <c r="AB27" s="319">
        <f t="shared" si="3"/>
        <v>0</v>
      </c>
      <c r="AC27" s="319">
        <f t="shared" si="3"/>
        <v>35874.439461883405</v>
      </c>
      <c r="AD27" s="313">
        <f t="shared" si="7"/>
        <v>0</v>
      </c>
    </row>
    <row r="28" spans="2:30" s="298" customFormat="1" ht="11" x14ac:dyDescent="0.15">
      <c r="B28" s="305"/>
      <c r="C28" s="300"/>
      <c r="D28" s="300"/>
      <c r="E28" s="301"/>
      <c r="F28" s="301"/>
      <c r="G28" s="301"/>
      <c r="H28" s="310"/>
      <c r="I28" s="312"/>
      <c r="J28" s="301"/>
      <c r="L28" s="305"/>
      <c r="M28" s="300"/>
      <c r="N28" s="300"/>
      <c r="O28" s="316"/>
      <c r="P28" s="316"/>
      <c r="Q28" s="316"/>
      <c r="R28" s="317">
        <f t="shared" ref="R28:S34" si="8">H28/$M$2</f>
        <v>0</v>
      </c>
      <c r="S28" s="317">
        <f t="shared" si="8"/>
        <v>0</v>
      </c>
      <c r="T28" s="301"/>
      <c r="V28" s="305"/>
      <c r="W28" s="300"/>
      <c r="X28" s="300"/>
      <c r="Y28" s="318"/>
      <c r="Z28" s="318"/>
      <c r="AA28" s="318"/>
      <c r="AB28" s="319">
        <f t="shared" ref="AB28:AC34" si="9">H28/$W$2</f>
        <v>0</v>
      </c>
      <c r="AC28" s="319">
        <f t="shared" si="9"/>
        <v>0</v>
      </c>
      <c r="AD28" s="301"/>
    </row>
    <row r="29" spans="2:30" s="298" customFormat="1" ht="11" x14ac:dyDescent="0.15">
      <c r="B29" s="305"/>
      <c r="C29" s="300"/>
      <c r="D29" s="300"/>
      <c r="E29" s="301"/>
      <c r="F29" s="301"/>
      <c r="G29" s="301"/>
      <c r="H29" s="310"/>
      <c r="I29" s="312"/>
      <c r="J29" s="301"/>
      <c r="L29" s="305"/>
      <c r="M29" s="300"/>
      <c r="N29" s="300"/>
      <c r="O29" s="316"/>
      <c r="P29" s="316"/>
      <c r="Q29" s="316"/>
      <c r="R29" s="317">
        <f t="shared" si="8"/>
        <v>0</v>
      </c>
      <c r="S29" s="317">
        <f t="shared" si="8"/>
        <v>0</v>
      </c>
      <c r="T29" s="301"/>
      <c r="V29" s="305"/>
      <c r="W29" s="300"/>
      <c r="X29" s="300"/>
      <c r="Y29" s="318"/>
      <c r="Z29" s="318"/>
      <c r="AA29" s="318"/>
      <c r="AB29" s="319">
        <f t="shared" si="9"/>
        <v>0</v>
      </c>
      <c r="AC29" s="319">
        <f t="shared" si="9"/>
        <v>0</v>
      </c>
      <c r="AD29" s="301"/>
    </row>
    <row r="30" spans="2:30" s="298" customFormat="1" ht="11" x14ac:dyDescent="0.15">
      <c r="B30" s="305"/>
      <c r="C30" s="300"/>
      <c r="D30" s="300"/>
      <c r="E30" s="301"/>
      <c r="F30" s="301"/>
      <c r="G30" s="301"/>
      <c r="H30" s="312"/>
      <c r="I30" s="312"/>
      <c r="J30" s="301"/>
      <c r="L30" s="305"/>
      <c r="M30" s="300"/>
      <c r="N30" s="300"/>
      <c r="O30" s="316"/>
      <c r="P30" s="316"/>
      <c r="Q30" s="316"/>
      <c r="R30" s="317">
        <f t="shared" si="8"/>
        <v>0</v>
      </c>
      <c r="S30" s="317">
        <f t="shared" si="8"/>
        <v>0</v>
      </c>
      <c r="T30" s="301"/>
      <c r="V30" s="305"/>
      <c r="W30" s="300"/>
      <c r="X30" s="300"/>
      <c r="Y30" s="318"/>
      <c r="Z30" s="318"/>
      <c r="AA30" s="318"/>
      <c r="AB30" s="319">
        <f t="shared" si="9"/>
        <v>0</v>
      </c>
      <c r="AC30" s="319">
        <f t="shared" si="9"/>
        <v>0</v>
      </c>
      <c r="AD30" s="301"/>
    </row>
    <row r="31" spans="2:30" s="298" customFormat="1" ht="11" x14ac:dyDescent="0.15">
      <c r="B31" s="305"/>
      <c r="C31" s="300"/>
      <c r="D31" s="300"/>
      <c r="E31" s="301"/>
      <c r="F31" s="301"/>
      <c r="G31" s="301"/>
      <c r="H31" s="312"/>
      <c r="I31" s="312"/>
      <c r="J31" s="301"/>
      <c r="L31" s="305"/>
      <c r="M31" s="300"/>
      <c r="N31" s="300"/>
      <c r="O31" s="316"/>
      <c r="P31" s="316"/>
      <c r="Q31" s="316"/>
      <c r="R31" s="317">
        <f t="shared" si="8"/>
        <v>0</v>
      </c>
      <c r="S31" s="317">
        <f t="shared" si="8"/>
        <v>0</v>
      </c>
      <c r="T31" s="301"/>
      <c r="V31" s="305"/>
      <c r="W31" s="300"/>
      <c r="X31" s="300"/>
      <c r="Y31" s="318"/>
      <c r="Z31" s="318"/>
      <c r="AA31" s="318"/>
      <c r="AB31" s="319">
        <f t="shared" si="9"/>
        <v>0</v>
      </c>
      <c r="AC31" s="319">
        <f t="shared" si="9"/>
        <v>0</v>
      </c>
      <c r="AD31" s="301"/>
    </row>
    <row r="32" spans="2:30" s="298" customFormat="1" ht="11" x14ac:dyDescent="0.15">
      <c r="B32" s="305" t="s">
        <v>216</v>
      </c>
      <c r="C32" s="305"/>
      <c r="D32" s="305"/>
      <c r="E32" s="309">
        <f>SUM(E5:E31)</f>
        <v>0</v>
      </c>
      <c r="F32" s="309">
        <f>SUM(F5:F31)</f>
        <v>0</v>
      </c>
      <c r="G32" s="309">
        <f>SUM(G5:G31)</f>
        <v>0</v>
      </c>
      <c r="H32" s="309">
        <f>SUM(H5:H31)</f>
        <v>0</v>
      </c>
      <c r="I32" s="309">
        <f>SUM(I5:I31)</f>
        <v>10688000</v>
      </c>
      <c r="J32" s="314">
        <f t="shared" ref="J32:J34" si="10">H32/I32</f>
        <v>0</v>
      </c>
      <c r="L32" s="305" t="s">
        <v>216</v>
      </c>
      <c r="M32" s="305"/>
      <c r="N32" s="305"/>
      <c r="O32" s="317">
        <f t="shared" ref="O32:Q34" si="11">E32/$M$2</f>
        <v>0</v>
      </c>
      <c r="P32" s="317">
        <f t="shared" si="11"/>
        <v>0</v>
      </c>
      <c r="Q32" s="317">
        <f t="shared" si="11"/>
        <v>0</v>
      </c>
      <c r="R32" s="317">
        <f t="shared" si="8"/>
        <v>0</v>
      </c>
      <c r="S32" s="317">
        <f t="shared" si="8"/>
        <v>641151.76964607066</v>
      </c>
      <c r="T32" s="314">
        <f t="shared" ref="T32:T34" si="12">R32/S32</f>
        <v>0</v>
      </c>
      <c r="V32" s="305" t="s">
        <v>216</v>
      </c>
      <c r="W32" s="305"/>
      <c r="X32" s="305"/>
      <c r="Y32" s="319">
        <f t="shared" ref="Y32:AA34" si="13">E32/$W$2</f>
        <v>0</v>
      </c>
      <c r="Z32" s="319">
        <f t="shared" si="13"/>
        <v>0</v>
      </c>
      <c r="AA32" s="319">
        <f t="shared" si="13"/>
        <v>0</v>
      </c>
      <c r="AB32" s="319">
        <f t="shared" si="9"/>
        <v>0</v>
      </c>
      <c r="AC32" s="319">
        <f t="shared" si="9"/>
        <v>479282.51121076231</v>
      </c>
      <c r="AD32" s="314">
        <f t="shared" ref="AD32:AD34" si="14">AB32/AC32</f>
        <v>0</v>
      </c>
    </row>
    <row r="33" spans="2:30" s="298" customFormat="1" ht="11" x14ac:dyDescent="0.15">
      <c r="B33" s="305" t="s">
        <v>210</v>
      </c>
      <c r="C33" s="305"/>
      <c r="D33" s="305"/>
      <c r="E33" s="311">
        <f>SUM(E5:E20)</f>
        <v>0</v>
      </c>
      <c r="F33" s="311">
        <f>SUM(F5:F20)</f>
        <v>0</v>
      </c>
      <c r="G33" s="311">
        <f>SUM(G5:G20)</f>
        <v>0</v>
      </c>
      <c r="H33" s="311">
        <f>SUM(H5:H20)</f>
        <v>0</v>
      </c>
      <c r="I33" s="311">
        <f>SUM(I5:I20)</f>
        <v>6038000</v>
      </c>
      <c r="J33" s="314">
        <f t="shared" si="10"/>
        <v>0</v>
      </c>
      <c r="L33" s="305" t="s">
        <v>210</v>
      </c>
      <c r="M33" s="305"/>
      <c r="N33" s="305"/>
      <c r="O33" s="317">
        <f t="shared" si="11"/>
        <v>0</v>
      </c>
      <c r="P33" s="317">
        <f t="shared" si="11"/>
        <v>0</v>
      </c>
      <c r="Q33" s="317">
        <f t="shared" si="11"/>
        <v>0</v>
      </c>
      <c r="R33" s="317">
        <f t="shared" si="8"/>
        <v>0</v>
      </c>
      <c r="S33" s="317">
        <f t="shared" si="8"/>
        <v>362207.55848830228</v>
      </c>
      <c r="T33" s="314">
        <f t="shared" si="12"/>
        <v>0</v>
      </c>
      <c r="V33" s="305" t="s">
        <v>210</v>
      </c>
      <c r="W33" s="305"/>
      <c r="X33" s="305"/>
      <c r="Y33" s="319">
        <f t="shared" si="13"/>
        <v>0</v>
      </c>
      <c r="Z33" s="319">
        <f t="shared" si="13"/>
        <v>0</v>
      </c>
      <c r="AA33" s="319">
        <f t="shared" si="13"/>
        <v>0</v>
      </c>
      <c r="AB33" s="319">
        <f t="shared" si="9"/>
        <v>0</v>
      </c>
      <c r="AC33" s="319">
        <f t="shared" si="9"/>
        <v>270762.33183856501</v>
      </c>
      <c r="AD33" s="314">
        <f t="shared" si="14"/>
        <v>0</v>
      </c>
    </row>
    <row r="34" spans="2:30" s="298" customFormat="1" ht="11" x14ac:dyDescent="0.15">
      <c r="B34" s="305" t="s">
        <v>211</v>
      </c>
      <c r="C34" s="305"/>
      <c r="D34" s="305"/>
      <c r="E34" s="311">
        <f>SUM(E21:E27)</f>
        <v>0</v>
      </c>
      <c r="F34" s="311">
        <f>SUM(F21:F27)</f>
        <v>0</v>
      </c>
      <c r="G34" s="311">
        <f>SUM(G21:G27)</f>
        <v>0</v>
      </c>
      <c r="H34" s="311">
        <f>SUM(H21:H27)</f>
        <v>0</v>
      </c>
      <c r="I34" s="311">
        <f>SUM(I21:I27)</f>
        <v>4650000</v>
      </c>
      <c r="J34" s="314">
        <f t="shared" si="10"/>
        <v>0</v>
      </c>
      <c r="L34" s="305" t="s">
        <v>211</v>
      </c>
      <c r="M34" s="305"/>
      <c r="N34" s="305"/>
      <c r="O34" s="317">
        <f t="shared" si="11"/>
        <v>0</v>
      </c>
      <c r="P34" s="317">
        <f t="shared" si="11"/>
        <v>0</v>
      </c>
      <c r="Q34" s="317">
        <f t="shared" si="11"/>
        <v>0</v>
      </c>
      <c r="R34" s="317">
        <f t="shared" si="8"/>
        <v>0</v>
      </c>
      <c r="S34" s="317">
        <f t="shared" si="8"/>
        <v>278944.21115776844</v>
      </c>
      <c r="T34" s="314">
        <f t="shared" si="12"/>
        <v>0</v>
      </c>
      <c r="V34" s="305" t="s">
        <v>211</v>
      </c>
      <c r="W34" s="305"/>
      <c r="X34" s="305"/>
      <c r="Y34" s="319">
        <f t="shared" si="13"/>
        <v>0</v>
      </c>
      <c r="Z34" s="319">
        <f t="shared" si="13"/>
        <v>0</v>
      </c>
      <c r="AA34" s="319">
        <f t="shared" si="13"/>
        <v>0</v>
      </c>
      <c r="AB34" s="319">
        <f t="shared" si="9"/>
        <v>0</v>
      </c>
      <c r="AC34" s="319">
        <f t="shared" si="9"/>
        <v>208520.17937219731</v>
      </c>
      <c r="AD34" s="314">
        <f t="shared" si="14"/>
        <v>0</v>
      </c>
    </row>
    <row r="38" spans="2:30" x14ac:dyDescent="0.2">
      <c r="C38" s="3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C972-6CA0-BA49-82CF-4F1525E22F2C}">
  <dimension ref="A1:CH58"/>
  <sheetViews>
    <sheetView workbookViewId="0">
      <selection activeCell="T18" sqref="T18"/>
    </sheetView>
  </sheetViews>
  <sheetFormatPr baseColWidth="10" defaultColWidth="14.5" defaultRowHeight="13" x14ac:dyDescent="0.2"/>
  <cols>
    <col min="1" max="1" width="8.6640625" style="149" bestFit="1" customWidth="1"/>
    <col min="2" max="2" width="10.1640625" style="193" bestFit="1" customWidth="1"/>
    <col min="3" max="3" width="11.5" style="149" bestFit="1" customWidth="1"/>
    <col min="4" max="4" width="14.1640625" style="149" bestFit="1" customWidth="1"/>
    <col min="5" max="5" width="8.6640625" style="149" bestFit="1" customWidth="1"/>
    <col min="6" max="6" width="19.1640625" style="149" customWidth="1"/>
    <col min="7" max="7" width="15.83203125" style="149" customWidth="1"/>
    <col min="8" max="8" width="13.5" style="149" customWidth="1"/>
    <col min="9" max="9" width="21.83203125" style="149" bestFit="1" customWidth="1"/>
    <col min="10" max="10" width="12.6640625" style="149" bestFit="1" customWidth="1"/>
    <col min="11" max="11" width="18.1640625" style="193" bestFit="1" customWidth="1"/>
    <col min="12" max="12" width="29.6640625" style="193" bestFit="1" customWidth="1"/>
    <col min="13" max="13" width="17.83203125" style="149" customWidth="1"/>
    <col min="14" max="14" width="22" style="149" customWidth="1"/>
    <col min="15" max="15" width="21.33203125" style="149" customWidth="1"/>
    <col min="16" max="16" width="34.1640625" style="149" customWidth="1"/>
    <col min="17" max="17" width="19.5" style="149" customWidth="1"/>
    <col min="18" max="18" width="16.33203125" style="149" customWidth="1"/>
    <col min="19" max="19" width="2.1640625" style="208" bestFit="1" customWidth="1"/>
    <col min="20" max="21" width="9.83203125" style="149" bestFit="1" customWidth="1"/>
    <col min="22" max="22" width="9.6640625" style="149" customWidth="1"/>
    <col min="23" max="23" width="10.83203125" style="209" customWidth="1"/>
    <col min="24" max="24" width="12.83203125" style="149" bestFit="1" customWidth="1"/>
    <col min="25" max="27" width="9.83203125" style="149" bestFit="1" customWidth="1"/>
    <col min="28" max="28" width="12.1640625" style="149" customWidth="1"/>
    <col min="29" max="29" width="12.5" style="149" customWidth="1"/>
    <col min="30" max="30" width="15" style="149" customWidth="1"/>
    <col min="31" max="31" width="12" style="149" customWidth="1"/>
    <col min="32" max="32" width="12.1640625" style="149" customWidth="1"/>
    <col min="33" max="33" width="12.33203125" style="149" customWidth="1"/>
    <col min="34" max="34" width="11.5" style="149" customWidth="1"/>
    <col min="35" max="35" width="12.33203125" style="149" customWidth="1"/>
    <col min="36" max="36" width="13" style="149" customWidth="1"/>
    <col min="37" max="37" width="11" style="149" customWidth="1"/>
    <col min="38" max="38" width="11.33203125" style="149" customWidth="1"/>
    <col min="39" max="86" width="14.5" style="148"/>
    <col min="87" max="16384" width="14.5" style="149"/>
  </cols>
  <sheetData>
    <row r="1" spans="1:86" ht="14" x14ac:dyDescent="0.2">
      <c r="A1" s="140" t="s">
        <v>4</v>
      </c>
      <c r="B1" s="140" t="s">
        <v>135</v>
      </c>
      <c r="C1" s="140" t="s">
        <v>136</v>
      </c>
      <c r="D1" s="140" t="s">
        <v>137</v>
      </c>
      <c r="E1" s="140" t="s">
        <v>138</v>
      </c>
      <c r="F1" s="140" t="s">
        <v>139</v>
      </c>
      <c r="G1" s="140" t="s">
        <v>140</v>
      </c>
      <c r="H1" s="140" t="s">
        <v>141</v>
      </c>
      <c r="I1" s="140" t="s">
        <v>142</v>
      </c>
      <c r="J1" s="140" t="s">
        <v>143</v>
      </c>
      <c r="K1" s="140" t="s">
        <v>144</v>
      </c>
      <c r="L1" s="141" t="s">
        <v>145</v>
      </c>
      <c r="M1" s="140" t="s">
        <v>146</v>
      </c>
      <c r="N1" s="140" t="s">
        <v>6</v>
      </c>
      <c r="O1" s="140" t="s">
        <v>147</v>
      </c>
      <c r="P1" s="140" t="s">
        <v>148</v>
      </c>
      <c r="Q1" s="140" t="s">
        <v>149</v>
      </c>
      <c r="R1" s="140" t="s">
        <v>150</v>
      </c>
      <c r="S1" s="142"/>
      <c r="T1" s="143" t="s">
        <v>151</v>
      </c>
      <c r="U1" s="143" t="s">
        <v>152</v>
      </c>
      <c r="V1" s="143" t="s">
        <v>246</v>
      </c>
      <c r="W1" s="143" t="s">
        <v>153</v>
      </c>
      <c r="X1" s="143" t="s">
        <v>244</v>
      </c>
      <c r="Y1" s="143" t="s">
        <v>154</v>
      </c>
      <c r="Z1" s="143" t="s">
        <v>155</v>
      </c>
      <c r="AA1" s="143" t="s">
        <v>245</v>
      </c>
      <c r="AB1" s="143" t="s">
        <v>156</v>
      </c>
      <c r="AC1" s="143" t="s">
        <v>157</v>
      </c>
      <c r="AD1" s="143" t="s">
        <v>158</v>
      </c>
      <c r="AE1" s="143" t="s">
        <v>159</v>
      </c>
      <c r="AF1" s="143" t="s">
        <v>247</v>
      </c>
      <c r="AG1" s="144" t="s">
        <v>248</v>
      </c>
      <c r="AH1" s="144" t="s">
        <v>160</v>
      </c>
      <c r="AI1" s="144" t="s">
        <v>161</v>
      </c>
      <c r="AJ1" s="144" t="s">
        <v>162</v>
      </c>
      <c r="AK1" s="145" t="s">
        <v>163</v>
      </c>
      <c r="AL1" s="146" t="s">
        <v>164</v>
      </c>
      <c r="AM1" s="147" t="s">
        <v>165</v>
      </c>
    </row>
    <row r="2" spans="1:86" ht="15" customHeight="1" x14ac:dyDescent="0.2">
      <c r="A2" s="150">
        <v>11</v>
      </c>
      <c r="B2" s="151" t="s">
        <v>91</v>
      </c>
      <c r="C2" s="152" t="s">
        <v>166</v>
      </c>
      <c r="D2" s="153" t="s">
        <v>238</v>
      </c>
      <c r="E2" s="153" t="s">
        <v>168</v>
      </c>
      <c r="F2" s="154"/>
      <c r="G2" s="391">
        <v>148500</v>
      </c>
      <c r="H2" s="392" t="s">
        <v>38</v>
      </c>
      <c r="I2" s="158" t="s">
        <v>38</v>
      </c>
      <c r="J2" s="155">
        <v>16</v>
      </c>
      <c r="K2" s="155"/>
      <c r="L2" s="153"/>
      <c r="M2" s="156"/>
      <c r="N2" s="155" t="s">
        <v>239</v>
      </c>
      <c r="O2" s="155" t="s">
        <v>240</v>
      </c>
      <c r="P2" s="153" t="s">
        <v>241</v>
      </c>
      <c r="Q2" s="153" t="s">
        <v>242</v>
      </c>
      <c r="R2" s="153" t="s">
        <v>243</v>
      </c>
      <c r="S2" s="157"/>
      <c r="T2" s="182"/>
      <c r="U2" s="182"/>
      <c r="V2" s="182"/>
      <c r="W2" s="192"/>
      <c r="X2" s="182"/>
      <c r="Y2" s="182"/>
      <c r="Z2" s="182"/>
      <c r="AA2" s="182"/>
      <c r="AB2" s="182"/>
      <c r="AC2" s="182"/>
      <c r="AD2" s="182">
        <v>74250</v>
      </c>
      <c r="AE2" s="182">
        <v>74250</v>
      </c>
      <c r="AF2" s="182"/>
      <c r="AG2" s="182"/>
      <c r="AH2" s="182"/>
      <c r="AI2" s="182"/>
      <c r="AJ2" s="182"/>
      <c r="AK2" s="182"/>
      <c r="AL2" s="182"/>
    </row>
    <row r="3" spans="1:86" ht="15" customHeight="1" x14ac:dyDescent="0.2">
      <c r="A3" s="150"/>
      <c r="B3" s="151"/>
      <c r="C3" s="152"/>
      <c r="D3" s="153"/>
      <c r="E3" s="153"/>
      <c r="F3" s="154"/>
      <c r="G3" s="391"/>
      <c r="H3" s="392"/>
      <c r="I3" s="158"/>
      <c r="J3" s="158"/>
      <c r="K3" s="158"/>
      <c r="L3" s="159"/>
      <c r="M3" s="160"/>
      <c r="N3" s="155"/>
      <c r="O3" s="155"/>
      <c r="P3" s="153"/>
      <c r="Q3" s="153"/>
      <c r="R3" s="153"/>
      <c r="S3" s="157"/>
      <c r="T3" s="182"/>
      <c r="U3" s="182"/>
      <c r="V3" s="182"/>
      <c r="W3" s="19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</row>
    <row r="4" spans="1:86" s="163" customFormat="1" ht="15.75" customHeight="1" thickBot="1" x14ac:dyDescent="0.25">
      <c r="A4" s="161"/>
      <c r="B4" s="151"/>
      <c r="C4" s="152"/>
      <c r="D4" s="153"/>
      <c r="E4" s="153"/>
      <c r="F4" s="154"/>
      <c r="G4" s="391"/>
      <c r="H4" s="392"/>
      <c r="I4" s="158"/>
      <c r="J4" s="158"/>
      <c r="K4" s="158"/>
      <c r="L4" s="159"/>
      <c r="M4" s="160"/>
      <c r="N4" s="155"/>
      <c r="O4" s="155"/>
      <c r="P4" s="153"/>
      <c r="Q4" s="153"/>
      <c r="R4" s="155"/>
      <c r="S4" s="162"/>
      <c r="T4" s="386"/>
      <c r="U4" s="386"/>
      <c r="V4" s="386"/>
      <c r="W4" s="387"/>
      <c r="X4" s="386"/>
      <c r="Y4" s="386"/>
      <c r="Z4" s="386"/>
      <c r="AA4" s="386"/>
      <c r="AB4" s="386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</row>
    <row r="5" spans="1:86" s="165" customFormat="1" ht="15.75" customHeight="1" x14ac:dyDescent="0.2">
      <c r="A5" s="161"/>
      <c r="B5" s="151"/>
      <c r="C5" s="151"/>
      <c r="D5" s="155"/>
      <c r="E5" s="155"/>
      <c r="F5" s="155"/>
      <c r="G5" s="393"/>
      <c r="H5" s="223"/>
      <c r="I5" s="158"/>
      <c r="J5" s="158"/>
      <c r="K5" s="158"/>
      <c r="L5" s="158"/>
      <c r="M5" s="158"/>
      <c r="N5" s="155"/>
      <c r="O5" s="155"/>
      <c r="P5" s="155"/>
      <c r="Q5" s="155"/>
      <c r="R5" s="155"/>
      <c r="S5" s="164"/>
      <c r="T5" s="386"/>
      <c r="U5" s="386"/>
      <c r="V5" s="386"/>
      <c r="W5" s="387"/>
      <c r="X5" s="386"/>
      <c r="Y5" s="386"/>
      <c r="Z5" s="386"/>
      <c r="AA5" s="386"/>
      <c r="AB5" s="386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</row>
    <row r="6" spans="1:86" ht="15.75" customHeight="1" x14ac:dyDescent="0.2">
      <c r="A6" s="161"/>
      <c r="B6" s="151"/>
      <c r="C6" s="151"/>
      <c r="D6" s="155"/>
      <c r="E6" s="155"/>
      <c r="F6" s="155"/>
      <c r="G6" s="393"/>
      <c r="H6" s="223"/>
      <c r="I6" s="158"/>
      <c r="J6" s="158"/>
      <c r="K6" s="158"/>
      <c r="L6" s="158"/>
      <c r="M6" s="158"/>
      <c r="N6" s="155"/>
      <c r="O6" s="155"/>
      <c r="P6" s="155"/>
      <c r="Q6" s="155"/>
      <c r="R6" s="155"/>
      <c r="S6" s="166"/>
      <c r="T6" s="386"/>
      <c r="U6" s="386"/>
      <c r="V6" s="386"/>
      <c r="W6" s="387"/>
      <c r="X6" s="386"/>
      <c r="Y6" s="386"/>
      <c r="Z6" s="386"/>
      <c r="AA6" s="386"/>
      <c r="AB6" s="386"/>
      <c r="AC6" s="182"/>
      <c r="AD6" s="182"/>
      <c r="AE6" s="182"/>
      <c r="AF6" s="182"/>
      <c r="AG6" s="182"/>
      <c r="AH6" s="182"/>
      <c r="AI6" s="182"/>
      <c r="AJ6" s="182"/>
      <c r="AK6" s="182"/>
      <c r="AL6" s="182"/>
    </row>
    <row r="7" spans="1:86" ht="15.75" customHeight="1" x14ac:dyDescent="0.2">
      <c r="A7" s="161"/>
      <c r="B7" s="151"/>
      <c r="C7" s="151"/>
      <c r="D7" s="155"/>
      <c r="E7" s="155"/>
      <c r="F7" s="155"/>
      <c r="G7" s="393"/>
      <c r="H7" s="223"/>
      <c r="I7" s="158"/>
      <c r="J7" s="158"/>
      <c r="K7" s="158"/>
      <c r="L7" s="158"/>
      <c r="M7" s="158"/>
      <c r="N7" s="155"/>
      <c r="O7" s="155"/>
      <c r="P7" s="155"/>
      <c r="Q7" s="155"/>
      <c r="R7" s="155"/>
      <c r="S7" s="166"/>
      <c r="T7" s="386"/>
      <c r="U7" s="386"/>
      <c r="V7" s="386"/>
      <c r="W7" s="387"/>
      <c r="X7" s="386"/>
      <c r="Y7" s="386"/>
      <c r="Z7" s="386"/>
      <c r="AA7" s="386"/>
      <c r="AB7" s="386"/>
      <c r="AC7" s="182"/>
      <c r="AD7" s="182"/>
      <c r="AE7" s="182"/>
      <c r="AF7" s="182"/>
      <c r="AG7" s="182"/>
      <c r="AH7" s="182"/>
      <c r="AI7" s="182"/>
      <c r="AJ7" s="182"/>
      <c r="AK7" s="182"/>
      <c r="AL7" s="182"/>
    </row>
    <row r="8" spans="1:86" ht="15.75" customHeight="1" x14ac:dyDescent="0.2">
      <c r="A8" s="161"/>
      <c r="B8" s="151"/>
      <c r="C8" s="151"/>
      <c r="D8" s="155"/>
      <c r="E8" s="155"/>
      <c r="F8" s="155"/>
      <c r="G8" s="393"/>
      <c r="H8" s="394"/>
      <c r="I8" s="158"/>
      <c r="J8" s="158"/>
      <c r="K8" s="155"/>
      <c r="L8" s="155"/>
      <c r="M8" s="155"/>
      <c r="N8" s="155"/>
      <c r="O8" s="155"/>
      <c r="P8" s="155"/>
      <c r="Q8" s="155"/>
      <c r="R8" s="155"/>
      <c r="S8" s="166"/>
      <c r="T8" s="386"/>
      <c r="U8" s="386"/>
      <c r="V8" s="386"/>
      <c r="W8" s="387"/>
      <c r="X8" s="386"/>
      <c r="Y8" s="386"/>
      <c r="Z8" s="386"/>
      <c r="AA8" s="386"/>
      <c r="AB8" s="386"/>
      <c r="AC8" s="182"/>
      <c r="AD8" s="182"/>
      <c r="AE8" s="182"/>
      <c r="AF8" s="182"/>
      <c r="AG8" s="182"/>
      <c r="AH8" s="182"/>
      <c r="AI8" s="182"/>
      <c r="AJ8" s="182"/>
      <c r="AK8" s="182"/>
      <c r="AL8" s="182"/>
    </row>
    <row r="9" spans="1:86" ht="15.75" customHeight="1" x14ac:dyDescent="0.2">
      <c r="A9" s="161"/>
      <c r="B9" s="151"/>
      <c r="C9" s="151"/>
      <c r="D9" s="155"/>
      <c r="E9" s="155"/>
      <c r="F9" s="155"/>
      <c r="G9" s="393"/>
      <c r="H9" s="394"/>
      <c r="I9" s="158"/>
      <c r="J9" s="158"/>
      <c r="K9" s="155"/>
      <c r="L9" s="155"/>
      <c r="M9" s="155"/>
      <c r="N9" s="155"/>
      <c r="O9" s="155"/>
      <c r="P9" s="155"/>
      <c r="Q9" s="155"/>
      <c r="R9" s="155"/>
      <c r="S9" s="166"/>
      <c r="T9" s="386"/>
      <c r="U9" s="386"/>
      <c r="V9" s="386"/>
      <c r="W9" s="387"/>
      <c r="X9" s="386"/>
      <c r="Y9" s="386"/>
      <c r="Z9" s="386"/>
      <c r="AA9" s="386"/>
      <c r="AB9" s="386"/>
      <c r="AC9" s="182"/>
      <c r="AD9" s="182"/>
      <c r="AE9" s="182"/>
      <c r="AF9" s="182"/>
      <c r="AG9" s="182"/>
      <c r="AH9" s="182"/>
      <c r="AI9" s="182"/>
      <c r="AJ9" s="182"/>
      <c r="AK9" s="182"/>
      <c r="AL9" s="182"/>
    </row>
    <row r="10" spans="1:86" ht="15.75" customHeight="1" x14ac:dyDescent="0.2">
      <c r="A10" s="161"/>
      <c r="B10" s="151"/>
      <c r="C10" s="151"/>
      <c r="D10" s="155"/>
      <c r="E10" s="155"/>
      <c r="F10" s="155"/>
      <c r="G10" s="393"/>
      <c r="H10" s="394"/>
      <c r="I10" s="158"/>
      <c r="J10" s="158"/>
      <c r="K10" s="167"/>
      <c r="L10" s="155"/>
      <c r="M10" s="155"/>
      <c r="N10" s="155"/>
      <c r="O10" s="155"/>
      <c r="P10" s="155"/>
      <c r="Q10" s="155"/>
      <c r="R10" s="155"/>
      <c r="S10" s="168"/>
      <c r="T10" s="386"/>
      <c r="U10" s="386"/>
      <c r="V10" s="386"/>
      <c r="W10" s="387"/>
      <c r="X10" s="386"/>
      <c r="Y10" s="386"/>
      <c r="Z10" s="386"/>
      <c r="AA10" s="386"/>
      <c r="AB10" s="386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</row>
    <row r="11" spans="1:86" ht="15.75" customHeight="1" x14ac:dyDescent="0.2">
      <c r="A11" s="161"/>
      <c r="B11" s="151"/>
      <c r="C11" s="151"/>
      <c r="D11" s="155"/>
      <c r="E11" s="155"/>
      <c r="F11" s="155"/>
      <c r="G11" s="393"/>
      <c r="H11" s="394"/>
      <c r="I11" s="158"/>
      <c r="J11" s="169"/>
      <c r="K11" s="170"/>
      <c r="L11" s="171"/>
      <c r="M11" s="155"/>
      <c r="N11" s="155"/>
      <c r="O11" s="155"/>
      <c r="P11" s="155"/>
      <c r="Q11" s="155"/>
      <c r="R11" s="155"/>
      <c r="S11" s="166"/>
      <c r="T11" s="386"/>
      <c r="U11" s="386"/>
      <c r="V11" s="386"/>
      <c r="W11" s="387"/>
      <c r="X11" s="386"/>
      <c r="Y11" s="386"/>
      <c r="Z11" s="386"/>
      <c r="AA11" s="386"/>
      <c r="AB11" s="386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</row>
    <row r="12" spans="1:86" ht="15.75" customHeight="1" x14ac:dyDescent="0.2">
      <c r="A12" s="172"/>
      <c r="B12" s="173"/>
      <c r="C12" s="173"/>
      <c r="D12" s="174"/>
      <c r="E12" s="174"/>
      <c r="F12" s="174"/>
      <c r="G12" s="395"/>
      <c r="H12" s="396"/>
      <c r="I12" s="175"/>
      <c r="J12" s="175"/>
      <c r="K12" s="176"/>
      <c r="L12" s="174"/>
      <c r="M12" s="174"/>
      <c r="N12" s="174"/>
      <c r="O12" s="174"/>
      <c r="P12" s="174"/>
      <c r="Q12" s="174"/>
      <c r="R12" s="174"/>
      <c r="S12" s="166"/>
      <c r="T12" s="388"/>
      <c r="U12" s="388"/>
      <c r="V12" s="388"/>
      <c r="W12" s="389"/>
      <c r="X12" s="388"/>
      <c r="Y12" s="388"/>
      <c r="Z12" s="388"/>
      <c r="AA12" s="388"/>
      <c r="AB12" s="388"/>
      <c r="AC12" s="390"/>
      <c r="AD12" s="390"/>
      <c r="AE12" s="390"/>
      <c r="AF12" s="390"/>
      <c r="AG12" s="390"/>
      <c r="AH12" s="390"/>
      <c r="AI12" s="390"/>
      <c r="AJ12" s="390"/>
      <c r="AK12" s="390"/>
      <c r="AL12" s="390"/>
    </row>
    <row r="13" spans="1:86" s="156" customFormat="1" ht="15" customHeight="1" thickBot="1" x14ac:dyDescent="0.25">
      <c r="A13" s="190"/>
      <c r="B13" s="151"/>
      <c r="C13" s="155"/>
      <c r="D13" s="158"/>
      <c r="E13" s="158"/>
      <c r="F13" s="188"/>
      <c r="G13" s="397"/>
      <c r="H13" s="398"/>
      <c r="I13" s="158"/>
      <c r="J13" s="155"/>
      <c r="K13" s="155"/>
      <c r="L13" s="153"/>
      <c r="N13" s="155"/>
      <c r="O13" s="155"/>
      <c r="P13" s="155"/>
      <c r="Q13" s="155"/>
      <c r="R13" s="155"/>
      <c r="S13" s="191"/>
      <c r="T13" s="386"/>
      <c r="U13" s="386"/>
      <c r="V13" s="182"/>
      <c r="W13" s="192"/>
      <c r="X13" s="386"/>
      <c r="Y13" s="386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0"/>
      <c r="BU13" s="160"/>
      <c r="BV13" s="160"/>
      <c r="BW13" s="160"/>
      <c r="BX13" s="160"/>
      <c r="BY13" s="160"/>
      <c r="BZ13" s="160"/>
      <c r="CA13" s="160"/>
      <c r="CB13" s="160"/>
      <c r="CC13" s="160"/>
      <c r="CD13" s="160"/>
      <c r="CE13" s="160"/>
      <c r="CF13" s="160"/>
      <c r="CG13" s="160"/>
      <c r="CH13" s="160"/>
    </row>
    <row r="14" spans="1:86" s="202" customFormat="1" ht="15" customHeight="1" thickTop="1" x14ac:dyDescent="0.2">
      <c r="A14" s="194"/>
      <c r="B14" s="195"/>
      <c r="C14" s="196"/>
      <c r="D14" s="196"/>
      <c r="E14" s="196"/>
      <c r="F14" s="197"/>
      <c r="G14" s="194"/>
      <c r="H14" s="198"/>
      <c r="I14" s="196"/>
      <c r="J14" s="196"/>
      <c r="K14" s="196"/>
      <c r="L14" s="195"/>
      <c r="M14" s="194"/>
      <c r="N14" s="194"/>
      <c r="O14" s="199"/>
      <c r="P14" s="194"/>
      <c r="Q14" s="200"/>
      <c r="R14" s="200"/>
      <c r="S14" s="201"/>
      <c r="W14" s="203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194"/>
      <c r="BR14" s="194"/>
      <c r="BS14" s="194"/>
      <c r="BT14" s="194"/>
      <c r="BU14" s="194"/>
      <c r="BV14" s="194"/>
      <c r="BW14" s="194"/>
      <c r="BX14" s="194"/>
      <c r="BY14" s="194"/>
      <c r="BZ14" s="194"/>
      <c r="CA14" s="194"/>
      <c r="CB14" s="194"/>
      <c r="CC14" s="194"/>
      <c r="CD14" s="194"/>
      <c r="CE14" s="194"/>
      <c r="CF14" s="194"/>
      <c r="CG14" s="194"/>
      <c r="CH14" s="194"/>
    </row>
    <row r="15" spans="1:86" ht="15" customHeight="1" x14ac:dyDescent="0.2">
      <c r="A15" s="148"/>
      <c r="B15" s="204"/>
      <c r="C15" s="169"/>
      <c r="D15" s="169"/>
      <c r="E15" s="169"/>
      <c r="F15" s="205"/>
      <c r="G15" s="148"/>
      <c r="H15" s="206"/>
      <c r="I15" s="169"/>
      <c r="J15" s="169"/>
      <c r="K15" s="169"/>
      <c r="L15" s="204"/>
      <c r="M15" s="148"/>
      <c r="N15" s="148"/>
      <c r="O15" s="207"/>
      <c r="P15" s="148"/>
      <c r="Q15" s="177"/>
      <c r="R15" s="177"/>
    </row>
    <row r="16" spans="1:86" ht="15" customHeight="1" x14ac:dyDescent="0.2">
      <c r="A16" s="148"/>
      <c r="B16" s="204"/>
      <c r="C16" s="169"/>
      <c r="D16" s="169"/>
      <c r="E16" s="169"/>
      <c r="F16" s="205"/>
      <c r="G16" s="148"/>
      <c r="H16" s="206"/>
      <c r="I16" s="169"/>
      <c r="J16" s="169"/>
      <c r="K16" s="169"/>
      <c r="L16" s="204"/>
      <c r="M16" s="148"/>
      <c r="N16" s="148"/>
      <c r="O16" s="207"/>
      <c r="P16" s="148"/>
      <c r="Q16" s="177"/>
      <c r="R16" s="177"/>
    </row>
    <row r="17" spans="1:86" ht="15" customHeight="1" thickBot="1" x14ac:dyDescent="0.25">
      <c r="A17" s="148"/>
      <c r="B17" s="204"/>
      <c r="C17" s="210"/>
      <c r="D17" s="210" t="s">
        <v>169</v>
      </c>
      <c r="E17" s="210" t="s">
        <v>170</v>
      </c>
      <c r="F17" s="205"/>
      <c r="G17" s="148"/>
      <c r="H17" s="206"/>
      <c r="I17" s="169"/>
      <c r="J17" s="169"/>
      <c r="K17" s="169"/>
      <c r="L17" s="204"/>
      <c r="M17" s="148"/>
      <c r="N17" s="148"/>
      <c r="O17" s="207"/>
      <c r="P17" s="148"/>
      <c r="Q17" s="177"/>
      <c r="R17" s="177"/>
    </row>
    <row r="18" spans="1:86" s="179" customFormat="1" ht="15.75" customHeight="1" x14ac:dyDescent="0.2">
      <c r="A18" s="211"/>
      <c r="B18" s="212"/>
      <c r="C18" s="213">
        <f>D18/24</f>
        <v>363.97058823529414</v>
      </c>
      <c r="D18" s="214">
        <f>H18/E18</f>
        <v>8735.2941176470595</v>
      </c>
      <c r="E18" s="212">
        <v>17</v>
      </c>
      <c r="F18" s="180" t="s">
        <v>95</v>
      </c>
      <c r="G18" s="180" t="s">
        <v>171</v>
      </c>
      <c r="H18" s="215">
        <f>SUM(T18:AL18)</f>
        <v>148500</v>
      </c>
      <c r="I18" s="216">
        <f>H18/24</f>
        <v>6187.5</v>
      </c>
      <c r="J18" s="216"/>
      <c r="K18" s="216"/>
      <c r="L18" s="181"/>
      <c r="M18" s="181"/>
      <c r="N18" s="181"/>
      <c r="O18" s="181"/>
      <c r="P18" s="181"/>
      <c r="Q18" s="181"/>
      <c r="R18" s="180"/>
      <c r="S18" s="217"/>
      <c r="T18" s="218">
        <f>SUM(T2:T12)</f>
        <v>0</v>
      </c>
      <c r="U18" s="218">
        <f>SUM(U2:U12)</f>
        <v>0</v>
      </c>
      <c r="V18" s="218">
        <f>SUM(V2:V12)</f>
        <v>0</v>
      </c>
      <c r="W18" s="219">
        <f>SUM(W2:W12)</f>
        <v>0</v>
      </c>
      <c r="X18" s="218">
        <f>SUM(X2:X12)</f>
        <v>0</v>
      </c>
      <c r="Y18" s="218">
        <f>SUM(Y2:Y12)</f>
        <v>0</v>
      </c>
      <c r="Z18" s="218">
        <f>SUM(Z2:Z12)</f>
        <v>0</v>
      </c>
      <c r="AA18" s="218">
        <f>SUM(AA2:AA12)</f>
        <v>0</v>
      </c>
      <c r="AB18" s="218">
        <f>SUM(AB2:AB12)</f>
        <v>0</v>
      </c>
      <c r="AC18" s="218">
        <f>SUM(AC2:AC12)</f>
        <v>0</v>
      </c>
      <c r="AD18" s="218">
        <f>SUM(AD2:AD12)</f>
        <v>74250</v>
      </c>
      <c r="AE18" s="218">
        <f>SUM(AE2:AE12)</f>
        <v>74250</v>
      </c>
      <c r="AF18" s="218">
        <f>SUM(AF2:AF12)</f>
        <v>0</v>
      </c>
      <c r="AG18" s="218">
        <f>SUM(AG2:AG12)</f>
        <v>0</v>
      </c>
      <c r="AH18" s="218">
        <f>SUM(AH2:AH12)</f>
        <v>0</v>
      </c>
      <c r="AI18" s="218">
        <f>SUM(AI2:AI12)</f>
        <v>0</v>
      </c>
      <c r="AJ18" s="218">
        <f>SUM(AJ2:AJ12)</f>
        <v>0</v>
      </c>
      <c r="AK18" s="218">
        <f>SUM(AK2:AK12)</f>
        <v>0</v>
      </c>
      <c r="AL18" s="218">
        <f>SUM(AL2:AL12)</f>
        <v>0</v>
      </c>
      <c r="AM18" s="218">
        <f>SUM(AM2:AM12)</f>
        <v>0</v>
      </c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</row>
    <row r="19" spans="1:86" ht="15.75" customHeight="1" x14ac:dyDescent="0.2">
      <c r="A19" s="148"/>
      <c r="B19" s="169"/>
      <c r="C19" s="220" t="e">
        <f>D19/24</f>
        <v>#REF!</v>
      </c>
      <c r="D19" s="221" t="e">
        <f>H19/E19</f>
        <v>#REF!</v>
      </c>
      <c r="E19" s="169">
        <v>17</v>
      </c>
      <c r="F19" s="222"/>
      <c r="G19" s="223" t="s">
        <v>98</v>
      </c>
      <c r="H19" s="224" t="e">
        <f>SUM(T19:AL19)</f>
        <v>#REF!</v>
      </c>
      <c r="I19" s="225" t="e">
        <f>H19/24</f>
        <v>#REF!</v>
      </c>
      <c r="J19" s="225"/>
      <c r="K19" s="225"/>
      <c r="L19" s="158"/>
      <c r="M19" s="158"/>
      <c r="N19" s="158"/>
      <c r="O19" s="158"/>
      <c r="P19" s="158"/>
      <c r="Q19" s="158"/>
      <c r="R19" s="223"/>
      <c r="S19" s="226"/>
      <c r="T19" s="227" t="e">
        <f>SUM(#REF!)</f>
        <v>#REF!</v>
      </c>
      <c r="U19" s="227" t="e">
        <f>SUM(#REF!)</f>
        <v>#REF!</v>
      </c>
      <c r="V19" s="227" t="e">
        <f>SUM(#REF!)</f>
        <v>#REF!</v>
      </c>
      <c r="W19" s="228" t="e">
        <f>SUM(#REF!)</f>
        <v>#REF!</v>
      </c>
      <c r="X19" s="227" t="e">
        <f>SUM(#REF!)</f>
        <v>#REF!</v>
      </c>
      <c r="Y19" s="227" t="e">
        <f>SUM(#REF!)</f>
        <v>#REF!</v>
      </c>
      <c r="Z19" s="227" t="e">
        <f>SUM(#REF!)</f>
        <v>#REF!</v>
      </c>
      <c r="AA19" s="227" t="e">
        <f>SUM(#REF!)</f>
        <v>#REF!</v>
      </c>
      <c r="AB19" s="227" t="e">
        <f>SUM(#REF!)</f>
        <v>#REF!</v>
      </c>
      <c r="AC19" s="227" t="e">
        <f>SUM(#REF!)</f>
        <v>#REF!</v>
      </c>
      <c r="AD19" s="227" t="e">
        <f>SUM(#REF!)</f>
        <v>#REF!</v>
      </c>
      <c r="AE19" s="227" t="e">
        <f>SUM(#REF!)</f>
        <v>#REF!</v>
      </c>
      <c r="AF19" s="227" t="e">
        <f>SUM(#REF!)</f>
        <v>#REF!</v>
      </c>
      <c r="AG19" s="227" t="e">
        <f>SUM(#REF!)</f>
        <v>#REF!</v>
      </c>
      <c r="AH19" s="227" t="e">
        <f>SUM(#REF!)</f>
        <v>#REF!</v>
      </c>
      <c r="AI19" s="227" t="e">
        <f>SUM(#REF!)</f>
        <v>#REF!</v>
      </c>
      <c r="AJ19" s="227" t="e">
        <f>SUM(#REF!)</f>
        <v>#REF!</v>
      </c>
      <c r="AK19" s="227" t="e">
        <f>SUM(#REF!)</f>
        <v>#REF!</v>
      </c>
      <c r="AL19" s="227" t="e">
        <f>SUM(#REF!)</f>
        <v>#REF!</v>
      </c>
      <c r="AM19" s="227" t="e">
        <f>SUM(#REF!)</f>
        <v>#REF!</v>
      </c>
    </row>
    <row r="20" spans="1:86" ht="15.75" customHeight="1" thickBot="1" x14ac:dyDescent="0.25">
      <c r="A20" s="148"/>
      <c r="B20" s="169"/>
      <c r="C20" s="220" t="e">
        <f>D20/24</f>
        <v>#REF!</v>
      </c>
      <c r="D20" s="221" t="e">
        <f>H20/E20</f>
        <v>#REF!</v>
      </c>
      <c r="E20" s="169">
        <v>16</v>
      </c>
      <c r="F20" s="229"/>
      <c r="G20" s="183" t="s">
        <v>172</v>
      </c>
      <c r="H20" s="230" t="e">
        <f>SUM(T20:AL20)</f>
        <v>#REF!</v>
      </c>
      <c r="I20" s="231" t="e">
        <f>H20/24</f>
        <v>#REF!</v>
      </c>
      <c r="J20" s="231"/>
      <c r="K20" s="231"/>
      <c r="L20" s="175"/>
      <c r="M20" s="175"/>
      <c r="N20" s="175"/>
      <c r="O20" s="175"/>
      <c r="P20" s="175"/>
      <c r="Q20" s="175"/>
      <c r="R20" s="183"/>
      <c r="S20" s="232"/>
      <c r="T20" s="184" t="e">
        <f>SUM(#REF!)</f>
        <v>#REF!</v>
      </c>
      <c r="U20" s="184" t="e">
        <f>SUM(#REF!)</f>
        <v>#REF!</v>
      </c>
      <c r="V20" s="184" t="e">
        <f>SUM(#REF!)</f>
        <v>#REF!</v>
      </c>
      <c r="W20" s="185" t="e">
        <f>SUM(#REF!)</f>
        <v>#REF!</v>
      </c>
      <c r="X20" s="184" t="e">
        <f>SUM(#REF!)</f>
        <v>#REF!</v>
      </c>
      <c r="Y20" s="184" t="e">
        <f>SUM(#REF!)</f>
        <v>#REF!</v>
      </c>
      <c r="Z20" s="184" t="e">
        <f>SUM(#REF!)</f>
        <v>#REF!</v>
      </c>
      <c r="AA20" s="184" t="e">
        <f>SUM(#REF!)</f>
        <v>#REF!</v>
      </c>
      <c r="AB20" s="184" t="e">
        <f>SUM(#REF!)</f>
        <v>#REF!</v>
      </c>
      <c r="AC20" s="184" t="e">
        <f>SUM(#REF!)</f>
        <v>#REF!</v>
      </c>
      <c r="AD20" s="184" t="e">
        <f>SUM(#REF!)</f>
        <v>#REF!</v>
      </c>
      <c r="AE20" s="184" t="e">
        <f>SUM(#REF!)</f>
        <v>#REF!</v>
      </c>
      <c r="AF20" s="184" t="e">
        <f>SUM(#REF!)</f>
        <v>#REF!</v>
      </c>
      <c r="AG20" s="184" t="e">
        <f>SUM(#REF!)</f>
        <v>#REF!</v>
      </c>
      <c r="AH20" s="184" t="e">
        <f>SUM(#REF!)</f>
        <v>#REF!</v>
      </c>
      <c r="AI20" s="184" t="e">
        <f>SUM(#REF!)</f>
        <v>#REF!</v>
      </c>
      <c r="AJ20" s="184" t="e">
        <f>SUM(#REF!)</f>
        <v>#REF!</v>
      </c>
      <c r="AK20" s="184" t="e">
        <f>SUM(#REF!)</f>
        <v>#REF!</v>
      </c>
      <c r="AL20" s="184" t="e">
        <f>SUM(#REF!)</f>
        <v>#REF!</v>
      </c>
      <c r="AM20" s="184" t="e">
        <f>SUM(#REF!)</f>
        <v>#REF!</v>
      </c>
    </row>
    <row r="21" spans="1:86" s="179" customFormat="1" ht="15.75" customHeight="1" thickBot="1" x14ac:dyDescent="0.25">
      <c r="A21" s="178"/>
      <c r="B21" s="212"/>
      <c r="C21" s="213" t="e">
        <f>D21/24</f>
        <v>#REF!</v>
      </c>
      <c r="D21" s="214" t="e">
        <f>H21/E21</f>
        <v>#REF!</v>
      </c>
      <c r="E21" s="212">
        <v>16</v>
      </c>
      <c r="F21" s="233"/>
      <c r="G21" s="180" t="s">
        <v>173</v>
      </c>
      <c r="H21" s="215" t="e">
        <f>SUM(T21:AL21)</f>
        <v>#REF!</v>
      </c>
      <c r="I21" s="216" t="e">
        <f t="shared" ref="I21:I30" si="0">H21/24</f>
        <v>#REF!</v>
      </c>
      <c r="J21" s="216"/>
      <c r="K21" s="216"/>
      <c r="L21" s="189"/>
      <c r="M21" s="189"/>
      <c r="N21" s="189"/>
      <c r="O21" s="189"/>
      <c r="P21" s="189"/>
      <c r="Q21" s="189"/>
      <c r="R21" s="234"/>
      <c r="S21" s="217"/>
      <c r="T21" s="218" t="e">
        <f>SUM(#REF!)</f>
        <v>#REF!</v>
      </c>
      <c r="U21" s="218" t="e">
        <f>SUM(#REF!)</f>
        <v>#REF!</v>
      </c>
      <c r="V21" s="218" t="e">
        <f>SUM(#REF!)</f>
        <v>#REF!</v>
      </c>
      <c r="W21" s="219" t="e">
        <f>SUM(#REF!)</f>
        <v>#REF!</v>
      </c>
      <c r="X21" s="218" t="e">
        <f>SUM(#REF!)</f>
        <v>#REF!</v>
      </c>
      <c r="Y21" s="218" t="e">
        <f>SUM(#REF!)</f>
        <v>#REF!</v>
      </c>
      <c r="Z21" s="218" t="e">
        <f>SUM(#REF!)</f>
        <v>#REF!</v>
      </c>
      <c r="AA21" s="218" t="e">
        <f>SUM(#REF!)</f>
        <v>#REF!</v>
      </c>
      <c r="AB21" s="218" t="e">
        <f>SUM(#REF!)</f>
        <v>#REF!</v>
      </c>
      <c r="AC21" s="218" t="e">
        <f>SUM(#REF!)</f>
        <v>#REF!</v>
      </c>
      <c r="AD21" s="218" t="e">
        <f>SUM(#REF!)</f>
        <v>#REF!</v>
      </c>
      <c r="AE21" s="218" t="e">
        <f>SUM(#REF!)</f>
        <v>#REF!</v>
      </c>
      <c r="AF21" s="218" t="e">
        <f>SUM(#REF!)</f>
        <v>#REF!</v>
      </c>
      <c r="AG21" s="218" t="e">
        <f>SUM(#REF!)</f>
        <v>#REF!</v>
      </c>
      <c r="AH21" s="218" t="e">
        <f>SUM(#REF!)</f>
        <v>#REF!</v>
      </c>
      <c r="AI21" s="218" t="e">
        <f>SUM(#REF!)</f>
        <v>#REF!</v>
      </c>
      <c r="AJ21" s="218" t="e">
        <f>SUM(#REF!)</f>
        <v>#REF!</v>
      </c>
      <c r="AK21" s="218" t="e">
        <f>SUM(#REF!)</f>
        <v>#REF!</v>
      </c>
      <c r="AL21" s="218" t="e">
        <f>SUM(#REF!)</f>
        <v>#REF!</v>
      </c>
      <c r="AM21" s="218" t="e">
        <f>SUM(#REF!)</f>
        <v>#REF!</v>
      </c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</row>
    <row r="22" spans="1:86" ht="15.75" customHeight="1" thickBot="1" x14ac:dyDescent="0.25">
      <c r="A22" s="148"/>
      <c r="B22" s="169"/>
      <c r="C22" s="169"/>
      <c r="D22" s="169"/>
      <c r="E22" s="169"/>
      <c r="F22" s="222"/>
      <c r="G22" s="223" t="s">
        <v>174</v>
      </c>
      <c r="H22" s="215" t="e">
        <f>SUM(T22:AL22)</f>
        <v>#REF!</v>
      </c>
      <c r="I22" s="216" t="e">
        <f t="shared" si="0"/>
        <v>#REF!</v>
      </c>
      <c r="J22" s="225"/>
      <c r="K22" s="225"/>
      <c r="L22" s="158"/>
      <c r="M22" s="158"/>
      <c r="N22" s="158"/>
      <c r="O22" s="158"/>
      <c r="P22" s="235"/>
      <c r="Q22" s="235"/>
      <c r="R22" s="223"/>
      <c r="S22" s="226"/>
      <c r="T22" s="227" t="e">
        <f>SUM(#REF!)</f>
        <v>#REF!</v>
      </c>
      <c r="U22" s="227" t="e">
        <f>SUM(#REF!)</f>
        <v>#REF!</v>
      </c>
      <c r="V22" s="227" t="e">
        <f>SUM(#REF!)</f>
        <v>#REF!</v>
      </c>
      <c r="W22" s="227" t="e">
        <f>SUM(#REF!)</f>
        <v>#REF!</v>
      </c>
      <c r="X22" s="227" t="e">
        <f>SUM(#REF!)</f>
        <v>#REF!</v>
      </c>
      <c r="Y22" s="227" t="e">
        <f>SUM(#REF!)</f>
        <v>#REF!</v>
      </c>
      <c r="Z22" s="227" t="e">
        <f>SUM(#REF!)</f>
        <v>#REF!</v>
      </c>
      <c r="AA22" s="227" t="e">
        <f>SUM(#REF!)</f>
        <v>#REF!</v>
      </c>
      <c r="AB22" s="227" t="e">
        <f>SUM(#REF!)</f>
        <v>#REF!</v>
      </c>
      <c r="AC22" s="227" t="e">
        <f>SUM(#REF!)</f>
        <v>#REF!</v>
      </c>
      <c r="AD22" s="227" t="e">
        <f>SUM(#REF!)</f>
        <v>#REF!</v>
      </c>
      <c r="AE22" s="227" t="e">
        <f>SUM(#REF!)</f>
        <v>#REF!</v>
      </c>
      <c r="AF22" s="227" t="e">
        <f>SUM(#REF!)</f>
        <v>#REF!</v>
      </c>
      <c r="AG22" s="227" t="e">
        <f>SUM(#REF!)</f>
        <v>#REF!</v>
      </c>
      <c r="AH22" s="227" t="e">
        <f>SUM(#REF!)</f>
        <v>#REF!</v>
      </c>
      <c r="AI22" s="227" t="e">
        <f>SUM(#REF!)</f>
        <v>#REF!</v>
      </c>
      <c r="AJ22" s="227" t="e">
        <f>SUM(#REF!)</f>
        <v>#REF!</v>
      </c>
      <c r="AK22" s="227" t="e">
        <f>SUM(#REF!)</f>
        <v>#REF!</v>
      </c>
      <c r="AL22" s="227" t="e">
        <f>SUM(#REF!)</f>
        <v>#REF!</v>
      </c>
      <c r="AM22" s="227" t="e">
        <f>SUM(#REF!)</f>
        <v>#REF!</v>
      </c>
    </row>
    <row r="23" spans="1:86" ht="15.75" customHeight="1" thickBot="1" x14ac:dyDescent="0.25">
      <c r="A23" s="148"/>
      <c r="B23" s="169"/>
      <c r="C23" s="169"/>
      <c r="D23" s="169"/>
      <c r="E23" s="169"/>
      <c r="F23" s="229"/>
      <c r="G23" s="183" t="s">
        <v>175</v>
      </c>
      <c r="H23" s="236" t="e">
        <f>SUM(T23:AL23)</f>
        <v>#REF!</v>
      </c>
      <c r="I23" s="237" t="e">
        <f t="shared" si="0"/>
        <v>#REF!</v>
      </c>
      <c r="J23" s="231"/>
      <c r="K23" s="231"/>
      <c r="L23" s="175"/>
      <c r="M23" s="175"/>
      <c r="N23" s="175"/>
      <c r="O23" s="175"/>
      <c r="P23" s="175"/>
      <c r="Q23" s="175"/>
      <c r="R23" s="183"/>
      <c r="S23" s="232"/>
      <c r="T23" s="184" t="e">
        <f>SUM(#REF!)</f>
        <v>#REF!</v>
      </c>
      <c r="U23" s="184" t="e">
        <f>SUM(#REF!)</f>
        <v>#REF!</v>
      </c>
      <c r="V23" s="184" t="e">
        <f>SUM(#REF!)</f>
        <v>#REF!</v>
      </c>
      <c r="W23" s="184" t="e">
        <f>SUM(#REF!)</f>
        <v>#REF!</v>
      </c>
      <c r="X23" s="184" t="e">
        <f>SUM(#REF!)</f>
        <v>#REF!</v>
      </c>
      <c r="Y23" s="184" t="e">
        <f>SUM(#REF!)</f>
        <v>#REF!</v>
      </c>
      <c r="Z23" s="184" t="e">
        <f>SUM(#REF!)</f>
        <v>#REF!</v>
      </c>
      <c r="AA23" s="184" t="e">
        <f>SUM(#REF!)</f>
        <v>#REF!</v>
      </c>
      <c r="AB23" s="184" t="e">
        <f>SUM(#REF!)</f>
        <v>#REF!</v>
      </c>
      <c r="AC23" s="184" t="e">
        <f>SUM(#REF!)</f>
        <v>#REF!</v>
      </c>
      <c r="AD23" s="184" t="e">
        <f>SUM(#REF!)</f>
        <v>#REF!</v>
      </c>
      <c r="AE23" s="184" t="e">
        <f>SUM(#REF!)</f>
        <v>#REF!</v>
      </c>
      <c r="AF23" s="184" t="e">
        <f>SUM(#REF!)</f>
        <v>#REF!</v>
      </c>
      <c r="AG23" s="184" t="e">
        <f>SUM(#REF!)</f>
        <v>#REF!</v>
      </c>
      <c r="AH23" s="184" t="e">
        <f>SUM(#REF!)</f>
        <v>#REF!</v>
      </c>
      <c r="AI23" s="184" t="e">
        <f>SUM(#REF!)</f>
        <v>#REF!</v>
      </c>
      <c r="AJ23" s="184" t="e">
        <f>SUM(#REF!)</f>
        <v>#REF!</v>
      </c>
      <c r="AK23" s="184" t="e">
        <f>SUM(#REF!)</f>
        <v>#REF!</v>
      </c>
      <c r="AL23" s="184" t="e">
        <f>SUM(#REF!)</f>
        <v>#REF!</v>
      </c>
      <c r="AM23" s="184" t="e">
        <f>SUM(#REF!)</f>
        <v>#REF!</v>
      </c>
    </row>
    <row r="24" spans="1:86" s="179" customFormat="1" ht="15.75" customHeight="1" thickBot="1" x14ac:dyDescent="0.25">
      <c r="A24" s="212"/>
      <c r="B24" s="212"/>
      <c r="C24" s="212"/>
      <c r="D24" s="212"/>
      <c r="E24" s="212"/>
      <c r="F24" s="233"/>
      <c r="G24" s="180" t="s">
        <v>176</v>
      </c>
      <c r="H24" s="236" t="e">
        <f>SUM(T24:AL24)</f>
        <v>#REF!</v>
      </c>
      <c r="I24" s="216" t="e">
        <f t="shared" si="0"/>
        <v>#REF!</v>
      </c>
      <c r="J24" s="216"/>
      <c r="K24" s="216"/>
      <c r="L24" s="189"/>
      <c r="M24" s="189"/>
      <c r="N24" s="189"/>
      <c r="O24" s="189"/>
      <c r="P24" s="189"/>
      <c r="Q24" s="189"/>
      <c r="R24" s="189"/>
      <c r="S24" s="238"/>
      <c r="T24" s="239" t="e">
        <f>SUM(#REF!)</f>
        <v>#REF!</v>
      </c>
      <c r="U24" s="239" t="e">
        <f>SUM(#REF!)</f>
        <v>#REF!</v>
      </c>
      <c r="V24" s="239" t="e">
        <f>SUM(#REF!)</f>
        <v>#REF!</v>
      </c>
      <c r="W24" s="239" t="e">
        <f>SUM(#REF!)</f>
        <v>#REF!</v>
      </c>
      <c r="X24" s="239" t="e">
        <f>SUM(#REF!)</f>
        <v>#REF!</v>
      </c>
      <c r="Y24" s="239" t="e">
        <f>SUM(#REF!)</f>
        <v>#REF!</v>
      </c>
      <c r="Z24" s="239" t="e">
        <f>SUM(#REF!)</f>
        <v>#REF!</v>
      </c>
      <c r="AA24" s="239" t="e">
        <f>SUM(#REF!)</f>
        <v>#REF!</v>
      </c>
      <c r="AB24" s="239" t="e">
        <f>SUM(#REF!)</f>
        <v>#REF!</v>
      </c>
      <c r="AC24" s="239" t="e">
        <f>SUM(#REF!)</f>
        <v>#REF!</v>
      </c>
      <c r="AD24" s="239" t="e">
        <f>SUM(#REF!)</f>
        <v>#REF!</v>
      </c>
      <c r="AE24" s="239" t="e">
        <f>SUM(#REF!)</f>
        <v>#REF!</v>
      </c>
      <c r="AF24" s="239" t="e">
        <f>SUM(#REF!)</f>
        <v>#REF!</v>
      </c>
      <c r="AG24" s="239" t="e">
        <f>SUM(#REF!)</f>
        <v>#REF!</v>
      </c>
      <c r="AH24" s="239" t="e">
        <f>SUM(#REF!)</f>
        <v>#REF!</v>
      </c>
      <c r="AI24" s="239" t="e">
        <f>SUM(#REF!)</f>
        <v>#REF!</v>
      </c>
      <c r="AJ24" s="239" t="e">
        <f>SUM(#REF!)</f>
        <v>#REF!</v>
      </c>
      <c r="AK24" s="239" t="e">
        <f>SUM(#REF!)</f>
        <v>#REF!</v>
      </c>
      <c r="AL24" s="239" t="e">
        <f>SUM(#REF!)</f>
        <v>#REF!</v>
      </c>
      <c r="AM24" s="239" t="e">
        <f>SUM(#REF!)</f>
        <v>#REF!</v>
      </c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</row>
    <row r="25" spans="1:86" ht="15.75" customHeight="1" thickBot="1" x14ac:dyDescent="0.25">
      <c r="A25" s="169"/>
      <c r="B25" s="169"/>
      <c r="C25" s="169"/>
      <c r="D25" s="169"/>
      <c r="E25" s="169"/>
      <c r="F25" s="222"/>
      <c r="G25" s="223" t="s">
        <v>177</v>
      </c>
      <c r="H25" s="236" t="e">
        <f>SUM(T25:AL25)</f>
        <v>#REF!</v>
      </c>
      <c r="I25" s="225" t="e">
        <f>H25/22.5</f>
        <v>#REF!</v>
      </c>
      <c r="J25" s="225"/>
      <c r="K25" s="225"/>
      <c r="L25" s="158"/>
      <c r="M25" s="158"/>
      <c r="N25" s="158"/>
      <c r="O25" s="158"/>
      <c r="P25" s="158"/>
      <c r="Q25" s="158"/>
      <c r="R25" s="158"/>
      <c r="S25" s="240"/>
      <c r="T25" s="227" t="e">
        <f>SUM(#REF!)</f>
        <v>#REF!</v>
      </c>
      <c r="U25" s="227" t="e">
        <f>SUM(#REF!)</f>
        <v>#REF!</v>
      </c>
      <c r="V25" s="227" t="e">
        <f>SUM(#REF!)</f>
        <v>#REF!</v>
      </c>
      <c r="W25" s="227" t="e">
        <f>SUM(#REF!)</f>
        <v>#REF!</v>
      </c>
      <c r="X25" s="227" t="e">
        <f>SUM(#REF!)</f>
        <v>#REF!</v>
      </c>
      <c r="Y25" s="227" t="e">
        <f>SUM(#REF!)</f>
        <v>#REF!</v>
      </c>
      <c r="Z25" s="227" t="e">
        <f>SUM(#REF!)</f>
        <v>#REF!</v>
      </c>
      <c r="AA25" s="227" t="e">
        <f>SUM(#REF!)</f>
        <v>#REF!</v>
      </c>
      <c r="AB25" s="227" t="e">
        <f>SUM(#REF!)</f>
        <v>#REF!</v>
      </c>
      <c r="AC25" s="227" t="e">
        <f>SUM(#REF!)</f>
        <v>#REF!</v>
      </c>
      <c r="AD25" s="227" t="e">
        <f>SUM(#REF!)</f>
        <v>#REF!</v>
      </c>
      <c r="AE25" s="227" t="e">
        <f>SUM(#REF!)</f>
        <v>#REF!</v>
      </c>
      <c r="AF25" s="227" t="e">
        <f>SUM(#REF!)</f>
        <v>#REF!</v>
      </c>
      <c r="AG25" s="227" t="e">
        <f>SUM(#REF!)</f>
        <v>#REF!</v>
      </c>
      <c r="AH25" s="227" t="e">
        <f>SUM(#REF!)</f>
        <v>#REF!</v>
      </c>
      <c r="AI25" s="227" t="e">
        <f>SUM(#REF!)</f>
        <v>#REF!</v>
      </c>
      <c r="AJ25" s="227" t="e">
        <f>SUM(#REF!)</f>
        <v>#REF!</v>
      </c>
      <c r="AK25" s="227" t="e">
        <f>SUM(#REF!)</f>
        <v>#REF!</v>
      </c>
      <c r="AL25" s="227" t="e">
        <f>SUM(#REF!)</f>
        <v>#REF!</v>
      </c>
      <c r="AM25" s="227" t="e">
        <f>SUM(#REF!)</f>
        <v>#REF!</v>
      </c>
    </row>
    <row r="26" spans="1:86" s="242" customFormat="1" ht="15.75" customHeight="1" thickBot="1" x14ac:dyDescent="0.25">
      <c r="A26" s="169"/>
      <c r="B26" s="169"/>
      <c r="C26" s="169"/>
      <c r="D26" s="169"/>
      <c r="E26" s="169"/>
      <c r="F26" s="229"/>
      <c r="G26" s="183" t="s">
        <v>178</v>
      </c>
      <c r="H26" s="236" t="e">
        <f>SUM(T26:AL26)</f>
        <v>#REF!</v>
      </c>
      <c r="I26" s="225" t="e">
        <f>H26/22.5</f>
        <v>#REF!</v>
      </c>
      <c r="J26" s="231"/>
      <c r="K26" s="231"/>
      <c r="L26" s="175"/>
      <c r="M26" s="175"/>
      <c r="N26" s="175"/>
      <c r="O26" s="175"/>
      <c r="P26" s="175"/>
      <c r="Q26" s="175"/>
      <c r="R26" s="175"/>
      <c r="S26" s="241"/>
      <c r="T26" s="184" t="e">
        <f>SUM(#REF!)</f>
        <v>#REF!</v>
      </c>
      <c r="U26" s="184" t="e">
        <f>SUM(#REF!)</f>
        <v>#REF!</v>
      </c>
      <c r="V26" s="184" t="e">
        <f>SUM(#REF!)</f>
        <v>#REF!</v>
      </c>
      <c r="W26" s="184" t="e">
        <f>SUM(#REF!)</f>
        <v>#REF!</v>
      </c>
      <c r="X26" s="184" t="e">
        <f>SUM(#REF!)</f>
        <v>#REF!</v>
      </c>
      <c r="Y26" s="184" t="e">
        <f>SUM(#REF!)</f>
        <v>#REF!</v>
      </c>
      <c r="Z26" s="184" t="e">
        <f>SUM(#REF!)</f>
        <v>#REF!</v>
      </c>
      <c r="AA26" s="184" t="e">
        <f>SUM(#REF!)</f>
        <v>#REF!</v>
      </c>
      <c r="AB26" s="184" t="e">
        <f>SUM(#REF!)</f>
        <v>#REF!</v>
      </c>
      <c r="AC26" s="184" t="e">
        <f>SUM(#REF!)</f>
        <v>#REF!</v>
      </c>
      <c r="AD26" s="184" t="e">
        <f>SUM(#REF!)</f>
        <v>#REF!</v>
      </c>
      <c r="AE26" s="184" t="e">
        <f>SUM(#REF!)</f>
        <v>#REF!</v>
      </c>
      <c r="AF26" s="184" t="e">
        <f>SUM(#REF!)</f>
        <v>#REF!</v>
      </c>
      <c r="AG26" s="184" t="e">
        <f>SUM(#REF!)</f>
        <v>#REF!</v>
      </c>
      <c r="AH26" s="184" t="e">
        <f>SUM(#REF!)</f>
        <v>#REF!</v>
      </c>
      <c r="AI26" s="184" t="e">
        <f>SUM(#REF!)</f>
        <v>#REF!</v>
      </c>
      <c r="AJ26" s="184" t="e">
        <f>SUM(#REF!)</f>
        <v>#REF!</v>
      </c>
      <c r="AK26" s="184" t="e">
        <f>SUM(#REF!)</f>
        <v>#REF!</v>
      </c>
      <c r="AL26" s="184" t="e">
        <f>SUM(#REF!)</f>
        <v>#REF!</v>
      </c>
      <c r="AM26" s="184" t="e">
        <f>SUM(#REF!)</f>
        <v>#REF!</v>
      </c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</row>
    <row r="27" spans="1:86" s="179" customFormat="1" ht="15.75" customHeight="1" thickBot="1" x14ac:dyDescent="0.25">
      <c r="A27" s="243"/>
      <c r="B27" s="212"/>
      <c r="C27" s="212"/>
      <c r="D27" s="212"/>
      <c r="E27" s="212"/>
      <c r="F27" s="233"/>
      <c r="G27" s="180" t="s">
        <v>179</v>
      </c>
      <c r="H27" s="244" t="e">
        <f>SUM(T27:AM27)</f>
        <v>#REF!</v>
      </c>
      <c r="I27" s="216" t="e">
        <f t="shared" si="0"/>
        <v>#REF!</v>
      </c>
      <c r="J27" s="216"/>
      <c r="K27" s="216"/>
      <c r="L27" s="189"/>
      <c r="M27" s="189"/>
      <c r="N27" s="189"/>
      <c r="O27" s="189"/>
      <c r="P27" s="189"/>
      <c r="Q27" s="189"/>
      <c r="R27" s="234"/>
      <c r="S27" s="217"/>
      <c r="T27" s="218" t="e">
        <f>SUM(#REF!)</f>
        <v>#REF!</v>
      </c>
      <c r="U27" s="218" t="e">
        <f>SUM(#REF!)</f>
        <v>#REF!</v>
      </c>
      <c r="V27" s="218" t="e">
        <f>SUM(#REF!)</f>
        <v>#REF!</v>
      </c>
      <c r="W27" s="218" t="e">
        <f>SUM(#REF!)</f>
        <v>#REF!</v>
      </c>
      <c r="X27" s="218" t="e">
        <f>SUM(#REF!)</f>
        <v>#REF!</v>
      </c>
      <c r="Y27" s="218" t="e">
        <f>SUM(#REF!)</f>
        <v>#REF!</v>
      </c>
      <c r="Z27" s="218" t="e">
        <f>SUM(#REF!)</f>
        <v>#REF!</v>
      </c>
      <c r="AA27" s="218" t="e">
        <f>SUM(#REF!)</f>
        <v>#REF!</v>
      </c>
      <c r="AB27" s="218" t="e">
        <f>SUM(#REF!)</f>
        <v>#REF!</v>
      </c>
      <c r="AC27" s="218" t="e">
        <f>SUM(#REF!)</f>
        <v>#REF!</v>
      </c>
      <c r="AD27" s="218" t="e">
        <f>SUM(#REF!)</f>
        <v>#REF!</v>
      </c>
      <c r="AE27" s="218" t="e">
        <f>SUM(#REF!)</f>
        <v>#REF!</v>
      </c>
      <c r="AF27" s="218" t="e">
        <f>SUM(#REF!)</f>
        <v>#REF!</v>
      </c>
      <c r="AG27" s="218" t="e">
        <f>SUM(#REF!)</f>
        <v>#REF!</v>
      </c>
      <c r="AH27" s="218" t="e">
        <f>SUM(#REF!)</f>
        <v>#REF!</v>
      </c>
      <c r="AI27" s="218" t="e">
        <f>SUM(#REF!)</f>
        <v>#REF!</v>
      </c>
      <c r="AJ27" s="218" t="e">
        <f>SUM(#REF!)</f>
        <v>#REF!</v>
      </c>
      <c r="AK27" s="218" t="e">
        <f>SUM(#REF!)</f>
        <v>#REF!</v>
      </c>
      <c r="AL27" s="218" t="e">
        <f>SUM(#REF!)</f>
        <v>#REF!</v>
      </c>
      <c r="AM27" s="218" t="e">
        <f>SUM(#REF!)</f>
        <v>#REF!</v>
      </c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</row>
    <row r="28" spans="1:86" ht="15.75" customHeight="1" thickBot="1" x14ac:dyDescent="0.25">
      <c r="A28" s="245"/>
      <c r="B28" s="169"/>
      <c r="C28" s="169"/>
      <c r="D28" s="169"/>
      <c r="E28" s="169"/>
      <c r="F28" s="222"/>
      <c r="G28" s="223" t="s">
        <v>180</v>
      </c>
      <c r="H28" s="244" t="e">
        <f>SUM(T28:AM28)</f>
        <v>#REF!</v>
      </c>
      <c r="I28" s="225" t="e">
        <f t="shared" si="0"/>
        <v>#REF!</v>
      </c>
      <c r="J28" s="225"/>
      <c r="K28" s="225"/>
      <c r="L28" s="158"/>
      <c r="M28" s="158"/>
      <c r="N28" s="158"/>
      <c r="O28" s="158"/>
      <c r="P28" s="158"/>
      <c r="Q28" s="158"/>
      <c r="R28" s="223"/>
      <c r="S28" s="226"/>
      <c r="T28" s="227" t="e">
        <f>SUM(#REF!)</f>
        <v>#REF!</v>
      </c>
      <c r="U28" s="227" t="e">
        <f>SUM(#REF!)</f>
        <v>#REF!</v>
      </c>
      <c r="V28" s="227" t="e">
        <f>SUM(#REF!)</f>
        <v>#REF!</v>
      </c>
      <c r="W28" s="227" t="e">
        <f>SUM(#REF!)</f>
        <v>#REF!</v>
      </c>
      <c r="X28" s="227" t="e">
        <f>SUM(#REF!)</f>
        <v>#REF!</v>
      </c>
      <c r="Y28" s="227" t="e">
        <f>SUM(#REF!)</f>
        <v>#REF!</v>
      </c>
      <c r="Z28" s="227" t="e">
        <f>SUM(#REF!)</f>
        <v>#REF!</v>
      </c>
      <c r="AA28" s="227" t="e">
        <f>SUM(#REF!)</f>
        <v>#REF!</v>
      </c>
      <c r="AB28" s="227" t="e">
        <f>SUM(#REF!)</f>
        <v>#REF!</v>
      </c>
      <c r="AC28" s="227" t="e">
        <f>SUM(#REF!)</f>
        <v>#REF!</v>
      </c>
      <c r="AD28" s="246" t="e">
        <f>#REF!+#REF!</f>
        <v>#REF!</v>
      </c>
      <c r="AE28" s="227" t="e">
        <f>SUM(#REF!)</f>
        <v>#REF!</v>
      </c>
      <c r="AF28" s="227">
        <f>SUM(AF13:AF13)</f>
        <v>0</v>
      </c>
      <c r="AG28" s="227">
        <f>SUM(AG13:AG13)</f>
        <v>0</v>
      </c>
      <c r="AH28" s="227" t="e">
        <f>SUM(#REF!)</f>
        <v>#REF!</v>
      </c>
      <c r="AI28" s="227" t="e">
        <f>SUM(#REF!)</f>
        <v>#REF!</v>
      </c>
      <c r="AJ28" s="227" t="e">
        <f>SUM(#REF!)</f>
        <v>#REF!</v>
      </c>
      <c r="AK28" s="227" t="e">
        <f>SUM(#REF!)</f>
        <v>#REF!</v>
      </c>
      <c r="AL28" s="227" t="e">
        <f>SUM(#REF!)</f>
        <v>#REF!</v>
      </c>
      <c r="AM28" s="227" t="e">
        <f>SUM(#REF!)</f>
        <v>#REF!</v>
      </c>
    </row>
    <row r="29" spans="1:86" ht="15.75" customHeight="1" thickBot="1" x14ac:dyDescent="0.25">
      <c r="A29" s="245"/>
      <c r="B29" s="169"/>
      <c r="C29" s="169"/>
      <c r="D29" s="169"/>
      <c r="E29" s="169"/>
      <c r="F29" s="229"/>
      <c r="G29" s="183" t="s">
        <v>181</v>
      </c>
      <c r="H29" s="244">
        <f>SUM(T29:AM29)</f>
        <v>0</v>
      </c>
      <c r="I29" s="231">
        <f t="shared" si="0"/>
        <v>0</v>
      </c>
      <c r="J29" s="231"/>
      <c r="K29" s="231"/>
      <c r="L29" s="175"/>
      <c r="M29" s="175"/>
      <c r="N29" s="175"/>
      <c r="O29" s="175"/>
      <c r="P29" s="175"/>
      <c r="Q29" s="175"/>
      <c r="R29" s="183"/>
      <c r="S29" s="232"/>
      <c r="T29" s="184">
        <f>SUM(T13:T13)</f>
        <v>0</v>
      </c>
      <c r="U29" s="184">
        <f>SUM(U13:U13)</f>
        <v>0</v>
      </c>
      <c r="V29" s="184">
        <f>SUM(V13:V13)</f>
        <v>0</v>
      </c>
      <c r="W29" s="184">
        <f>SUM(W13:W13)</f>
        <v>0</v>
      </c>
      <c r="X29" s="184">
        <f>SUM(X13:X13)</f>
        <v>0</v>
      </c>
      <c r="Y29" s="184">
        <f>SUM(Y13:Y13)</f>
        <v>0</v>
      </c>
      <c r="Z29" s="184">
        <f>SUM(Z13:Z13)</f>
        <v>0</v>
      </c>
      <c r="AA29" s="184">
        <f>SUM(AA13:AA13)</f>
        <v>0</v>
      </c>
      <c r="AB29" s="184">
        <f>SUM(AB13:AB13)</f>
        <v>0</v>
      </c>
      <c r="AC29" s="184">
        <f>SUM(AC13:AC13)</f>
        <v>0</v>
      </c>
      <c r="AD29" s="184">
        <f>SUM(AD13:AD13)</f>
        <v>0</v>
      </c>
      <c r="AE29" s="184">
        <f>SUM(AE13:AE13)</f>
        <v>0</v>
      </c>
      <c r="AF29" s="184">
        <f>SUM(AF13:AF13)</f>
        <v>0</v>
      </c>
      <c r="AG29" s="184">
        <f>SUM(AG13:AG13)</f>
        <v>0</v>
      </c>
      <c r="AH29" s="184">
        <f>SUM(AH13:AH13)</f>
        <v>0</v>
      </c>
      <c r="AI29" s="184">
        <f>SUM(AI13:AI13)</f>
        <v>0</v>
      </c>
      <c r="AJ29" s="184">
        <f>SUM(AJ13:AJ13)</f>
        <v>0</v>
      </c>
      <c r="AK29" s="184">
        <f>SUM(AK13:AK13)</f>
        <v>0</v>
      </c>
      <c r="AL29" s="184">
        <f>SUM(AL13:AL13)</f>
        <v>0</v>
      </c>
      <c r="AM29" s="184">
        <f>SUM(AM13:AM13)</f>
        <v>0</v>
      </c>
    </row>
    <row r="30" spans="1:86" s="252" customFormat="1" ht="15.75" customHeight="1" x14ac:dyDescent="0.2">
      <c r="A30" s="247"/>
      <c r="B30" s="247"/>
      <c r="C30" s="247"/>
      <c r="D30" s="247"/>
      <c r="E30" s="247"/>
      <c r="F30" s="180"/>
      <c r="G30" s="180" t="s">
        <v>96</v>
      </c>
      <c r="H30" s="248" t="e">
        <f>SUM(H18:H29)</f>
        <v>#REF!</v>
      </c>
      <c r="I30" s="216" t="e">
        <f t="shared" si="0"/>
        <v>#REF!</v>
      </c>
      <c r="J30" s="216"/>
      <c r="K30" s="216"/>
      <c r="L30" s="180"/>
      <c r="M30" s="180"/>
      <c r="N30" s="180"/>
      <c r="O30" s="180"/>
      <c r="P30" s="180"/>
      <c r="Q30" s="180"/>
      <c r="R30" s="180"/>
      <c r="S30" s="249"/>
      <c r="T30" s="250"/>
      <c r="U30" s="250"/>
      <c r="V30" s="250"/>
      <c r="W30" s="251"/>
      <c r="X30" s="250"/>
      <c r="Y30" s="250"/>
      <c r="Z30" s="250"/>
      <c r="AA30" s="250"/>
      <c r="AB30" s="250"/>
      <c r="AC30" s="250"/>
      <c r="AD30" s="250"/>
      <c r="AE30" s="250"/>
      <c r="AF30" s="250"/>
      <c r="AN30" s="253"/>
      <c r="AO30" s="253"/>
      <c r="AP30" s="253"/>
      <c r="AQ30" s="253"/>
      <c r="AR30" s="253"/>
      <c r="AS30" s="253"/>
      <c r="AT30" s="253"/>
      <c r="AU30" s="253"/>
      <c r="AV30" s="253"/>
      <c r="AW30" s="253"/>
      <c r="AX30" s="253"/>
      <c r="AY30" s="253"/>
      <c r="AZ30" s="253"/>
      <c r="BA30" s="253"/>
      <c r="BB30" s="253"/>
      <c r="BC30" s="253"/>
      <c r="BD30" s="253"/>
      <c r="BE30" s="253"/>
      <c r="BF30" s="253"/>
      <c r="BG30" s="253"/>
      <c r="BH30" s="253"/>
      <c r="BI30" s="253"/>
      <c r="BJ30" s="253"/>
      <c r="BK30" s="253"/>
      <c r="BL30" s="253"/>
      <c r="BM30" s="253"/>
      <c r="BN30" s="253"/>
      <c r="BO30" s="253"/>
      <c r="BP30" s="253"/>
      <c r="BQ30" s="253"/>
      <c r="BR30" s="253"/>
      <c r="BS30" s="253"/>
      <c r="BT30" s="253"/>
      <c r="BU30" s="253"/>
      <c r="BV30" s="253"/>
      <c r="BW30" s="253"/>
      <c r="BX30" s="253"/>
      <c r="BY30" s="253"/>
      <c r="BZ30" s="253"/>
      <c r="CA30" s="253"/>
      <c r="CB30" s="253"/>
      <c r="CC30" s="253"/>
      <c r="CD30" s="253"/>
      <c r="CE30" s="253"/>
      <c r="CF30" s="253"/>
      <c r="CG30" s="253"/>
      <c r="CH30" s="253"/>
    </row>
    <row r="31" spans="1:86" s="257" customFormat="1" ht="15.75" customHeight="1" thickBot="1" x14ac:dyDescent="0.25">
      <c r="A31" s="254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5"/>
      <c r="T31" s="254"/>
      <c r="U31" s="254"/>
      <c r="V31" s="254"/>
      <c r="W31" s="256"/>
      <c r="X31" s="254"/>
      <c r="Y31" s="254"/>
      <c r="Z31" s="254"/>
      <c r="AA31" s="254"/>
      <c r="AB31" s="254"/>
      <c r="AC31" s="254"/>
      <c r="AD31" s="254"/>
      <c r="AE31" s="254"/>
      <c r="AF31" s="254"/>
    </row>
    <row r="32" spans="1:86" s="179" customFormat="1" ht="15.75" customHeight="1" x14ac:dyDescent="0.2">
      <c r="A32" s="212"/>
      <c r="B32" s="212"/>
      <c r="C32" s="213">
        <f>D32/24</f>
        <v>363.97058823529414</v>
      </c>
      <c r="D32" s="214">
        <f>H32/E32</f>
        <v>8735.2941176470595</v>
      </c>
      <c r="E32" s="212">
        <v>17</v>
      </c>
      <c r="F32" s="180" t="s">
        <v>109</v>
      </c>
      <c r="G32" s="180" t="s">
        <v>171</v>
      </c>
      <c r="H32" s="258">
        <f>SUM(T32:AL32)</f>
        <v>148500</v>
      </c>
      <c r="I32" s="259">
        <f t="shared" ref="I32:I37" si="1">H32/24</f>
        <v>6187.5</v>
      </c>
      <c r="J32" s="259"/>
      <c r="K32" s="259"/>
      <c r="L32" s="189"/>
      <c r="M32" s="189"/>
      <c r="N32" s="189"/>
      <c r="O32" s="189"/>
      <c r="P32" s="189"/>
      <c r="Q32" s="189"/>
      <c r="R32" s="189"/>
      <c r="S32" s="238"/>
      <c r="T32" s="260">
        <f>SUMIF($I2:$I13,"APRIL",T2:T13)</f>
        <v>0</v>
      </c>
      <c r="U32" s="260">
        <f>SUMIF($I2:$I13,"APRIL",U2:U13)</f>
        <v>0</v>
      </c>
      <c r="V32" s="260">
        <f>SUMIF($I2:$I13,"APRIL",V2:V13)</f>
        <v>0</v>
      </c>
      <c r="W32" s="261">
        <f>SUMIF($I2:$I13,"APRIL",W2:W13)</f>
        <v>0</v>
      </c>
      <c r="X32" s="260">
        <f>SUMIF($I2:$I13,"APRIL",X2:X13)</f>
        <v>0</v>
      </c>
      <c r="Y32" s="260">
        <f>SUMIF($I2:$I13,"APRIL",Y2:Y13)</f>
        <v>0</v>
      </c>
      <c r="Z32" s="260">
        <f>SUMIF($I2:$I13,"APRIL",Z2:Z13)</f>
        <v>0</v>
      </c>
      <c r="AA32" s="260">
        <f>SUMIF($I2:$I13,"APRIL",AA2:AA13)</f>
        <v>0</v>
      </c>
      <c r="AB32" s="260">
        <f>SUMIF($I2:$I13,"APRIL",AB2:AB13)</f>
        <v>0</v>
      </c>
      <c r="AC32" s="260">
        <f>SUMIF($I2:$I13,"APRIL",AC2:AC13)</f>
        <v>0</v>
      </c>
      <c r="AD32" s="260">
        <f>SUMIF($I2:$I13,"APRIL",AD2:AD13)</f>
        <v>74250</v>
      </c>
      <c r="AE32" s="260">
        <f>SUMIF($I2:$I13,"APRIL",AE2:AE13)</f>
        <v>74250</v>
      </c>
      <c r="AF32" s="260">
        <f>SUMIF($I2:$I13,"APRIL",AF2:AF13)</f>
        <v>0</v>
      </c>
      <c r="AG32" s="260">
        <f>SUMIF($I2:$I13,"APRIL",AG2:AG13)</f>
        <v>0</v>
      </c>
      <c r="AH32" s="260">
        <f>SUMIF($I2:$I13,"APRIL",AH2:AH13)</f>
        <v>0</v>
      </c>
      <c r="AI32" s="260">
        <f>SUMIF($I2:$I13,"APRIL",AI2:AI13)</f>
        <v>0</v>
      </c>
      <c r="AJ32" s="260">
        <f>SUMIF($I2:$I13,"APRIL",AJ2:AJ13)</f>
        <v>0</v>
      </c>
      <c r="AK32" s="260">
        <f>SUMIF($I2:$I13,"APRIL",AK2:AK13)</f>
        <v>0</v>
      </c>
      <c r="AL32" s="260">
        <f>SUMIF($I2:$I13,"APRIL",AL2:AL13)</f>
        <v>0</v>
      </c>
      <c r="AM32" s="260">
        <f>SUMIF($I2:$I13,"APRIL",AM2:AM13)</f>
        <v>0</v>
      </c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8"/>
      <c r="BT32" s="178"/>
      <c r="BU32" s="178"/>
      <c r="BV32" s="178"/>
      <c r="BW32" s="178"/>
      <c r="BX32" s="178"/>
      <c r="BY32" s="178"/>
      <c r="BZ32" s="178"/>
      <c r="CA32" s="178"/>
      <c r="CB32" s="178"/>
      <c r="CC32" s="178"/>
      <c r="CD32" s="178"/>
      <c r="CE32" s="178"/>
      <c r="CF32" s="178"/>
      <c r="CG32" s="178"/>
      <c r="CH32" s="178"/>
    </row>
    <row r="33" spans="1:86" ht="15.75" customHeight="1" x14ac:dyDescent="0.2">
      <c r="A33" s="169"/>
      <c r="B33" s="169"/>
      <c r="C33" s="220">
        <f>D33/24</f>
        <v>0</v>
      </c>
      <c r="D33" s="221">
        <f>H33/E33</f>
        <v>0</v>
      </c>
      <c r="E33" s="169">
        <v>17</v>
      </c>
      <c r="F33" s="222"/>
      <c r="G33" s="223" t="s">
        <v>98</v>
      </c>
      <c r="H33" s="262">
        <f>SUM(T33:AL33)</f>
        <v>0</v>
      </c>
      <c r="I33" s="263">
        <f t="shared" si="1"/>
        <v>0</v>
      </c>
      <c r="J33" s="263"/>
      <c r="K33" s="263"/>
      <c r="L33" s="158"/>
      <c r="M33" s="158"/>
      <c r="N33" s="158"/>
      <c r="O33" s="158"/>
      <c r="P33" s="158"/>
      <c r="Q33" s="158"/>
      <c r="R33" s="158"/>
      <c r="S33" s="240"/>
      <c r="T33" s="264">
        <f>SUMIF($I2:$I13,"may",T2:T13)</f>
        <v>0</v>
      </c>
      <c r="U33" s="264">
        <f>SUMIF($I2:$I13,"may",U2:U13)</f>
        <v>0</v>
      </c>
      <c r="V33" s="264">
        <f>SUMIF($I2:$I13,"may",V2:V13)</f>
        <v>0</v>
      </c>
      <c r="W33" s="265">
        <f>SUMIF($I2:$I13,"may",W2:W13)</f>
        <v>0</v>
      </c>
      <c r="X33" s="264">
        <f>SUMIF($I2:$I13,"may",X2:X13)</f>
        <v>0</v>
      </c>
      <c r="Y33" s="264">
        <f>SUMIF($I2:$I13,"may",Y2:Y13)</f>
        <v>0</v>
      </c>
      <c r="Z33" s="264">
        <f>SUMIF($I2:$I13,"may",Z2:Z13)</f>
        <v>0</v>
      </c>
      <c r="AA33" s="264">
        <f>SUMIF($I2:$I13,"may",AA2:AA13)</f>
        <v>0</v>
      </c>
      <c r="AB33" s="264">
        <f>SUMIF($I2:$I13,"may",AB2:AB13)</f>
        <v>0</v>
      </c>
      <c r="AC33" s="264">
        <f>SUMIF($I2:$I13,"may",AC2:AC13)</f>
        <v>0</v>
      </c>
      <c r="AD33" s="264">
        <f>SUMIF($I2:$I13,"may",AD2:AD13)</f>
        <v>0</v>
      </c>
      <c r="AE33" s="264">
        <f>SUMIF($I2:$I13,"may",AE2:AE13)</f>
        <v>0</v>
      </c>
      <c r="AF33" s="264">
        <f>SUMIF($I2:$I13,"may",AF2:AF13)</f>
        <v>0</v>
      </c>
      <c r="AG33" s="264">
        <f>SUMIF($I2:$I13,"may",AG2:AG13)</f>
        <v>0</v>
      </c>
      <c r="AH33" s="264">
        <f>SUMIF($I2:$I13,"may",AH2:AH13)</f>
        <v>0</v>
      </c>
      <c r="AI33" s="264">
        <f>SUMIF($I2:$I13,"may",AI2:AI13)</f>
        <v>0</v>
      </c>
      <c r="AJ33" s="264">
        <f>SUMIF($I2:$I13,"may",AJ2:AJ13)</f>
        <v>0</v>
      </c>
      <c r="AK33" s="264">
        <f>SUMIF($I2:$I13,"may",AK2:AK13)</f>
        <v>0</v>
      </c>
      <c r="AL33" s="264">
        <f>SUMIF($I2:$I13,"may",AL2:AL13)</f>
        <v>0</v>
      </c>
      <c r="AM33" s="264">
        <f>SUMIF($I2:$I13,"may",AM2:AM13)</f>
        <v>0</v>
      </c>
    </row>
    <row r="34" spans="1:86" ht="15.75" customHeight="1" thickBot="1" x14ac:dyDescent="0.25">
      <c r="A34" s="148"/>
      <c r="B34" s="204"/>
      <c r="C34" s="220">
        <f t="shared" ref="C34:C40" si="2">D34/24</f>
        <v>0</v>
      </c>
      <c r="D34" s="221">
        <f t="shared" ref="D34" si="3">H34/E34</f>
        <v>0</v>
      </c>
      <c r="E34" s="169">
        <v>16</v>
      </c>
      <c r="F34" s="229"/>
      <c r="G34" s="183" t="s">
        <v>172</v>
      </c>
      <c r="H34" s="266">
        <f>SUM(T34:AL34)</f>
        <v>0</v>
      </c>
      <c r="I34" s="267">
        <f t="shared" si="1"/>
        <v>0</v>
      </c>
      <c r="J34" s="267"/>
      <c r="K34" s="267"/>
      <c r="L34" s="175"/>
      <c r="M34" s="175"/>
      <c r="N34" s="175"/>
      <c r="O34" s="175"/>
      <c r="P34" s="175"/>
      <c r="Q34" s="175"/>
      <c r="R34" s="175"/>
      <c r="S34" s="241"/>
      <c r="T34" s="268">
        <f>SUMIF($I2:$I12,"june",T2:T12)</f>
        <v>0</v>
      </c>
      <c r="U34" s="268">
        <f>SUMIF($I2:$I12,"june",U2:U12)</f>
        <v>0</v>
      </c>
      <c r="V34" s="268">
        <f>SUMIF($I2:$I12,"june",V2:V12)</f>
        <v>0</v>
      </c>
      <c r="W34" s="269">
        <f>SUMIF($I2:$I12,"june",W2:W12)</f>
        <v>0</v>
      </c>
      <c r="X34" s="268">
        <f>SUMIF($I2:$I12,"june",X2:X12)</f>
        <v>0</v>
      </c>
      <c r="Y34" s="268">
        <f>SUMIF($I2:$I12,"june",Y2:Y12)</f>
        <v>0</v>
      </c>
      <c r="Z34" s="268">
        <f>SUMIF($I2:$I12,"june",Z2:Z12)</f>
        <v>0</v>
      </c>
      <c r="AA34" s="268">
        <f>SUMIF($I2:$I12,"june",AA2:AA12)</f>
        <v>0</v>
      </c>
      <c r="AB34" s="268">
        <f>SUMIF($I2:$I12,"june",AB2:AB12)</f>
        <v>0</v>
      </c>
      <c r="AC34" s="268">
        <f>SUMIF($I2:$I12,"june",AC2:AC12)</f>
        <v>0</v>
      </c>
      <c r="AD34" s="268">
        <f>SUMIF($I2:$I12,"june",AD2:AD12)</f>
        <v>0</v>
      </c>
      <c r="AE34" s="268">
        <f>SUMIF($I2:$I12,"june",AE2:AE12)</f>
        <v>0</v>
      </c>
      <c r="AF34" s="268">
        <f>SUMIF($I2:$I12,"june",AF2:AF12)</f>
        <v>0</v>
      </c>
      <c r="AG34" s="268">
        <f>SUMIF($I2:$I12,"june",AG2:AG12)</f>
        <v>0</v>
      </c>
      <c r="AH34" s="268">
        <f>SUMIF($I2:$I12,"june",AH2:AH12)</f>
        <v>0</v>
      </c>
      <c r="AI34" s="268">
        <f>SUMIF($I2:$I12,"june",AI2:AI12)</f>
        <v>0</v>
      </c>
      <c r="AJ34" s="268">
        <f>SUMIF($I2:$I12,"june",AJ2:AJ12)</f>
        <v>0</v>
      </c>
      <c r="AK34" s="268">
        <f>SUMIF($I2:$I12,"june",AK2:AK12)</f>
        <v>0</v>
      </c>
      <c r="AL34" s="268">
        <f>SUMIF($I2:$I12,"june",AL2:AL12)</f>
        <v>0</v>
      </c>
      <c r="AM34" s="268">
        <f>SUMIF($I2:$I12,"june",AM2:AM12)</f>
        <v>0</v>
      </c>
    </row>
    <row r="35" spans="1:86" s="179" customFormat="1" ht="15.75" customHeight="1" x14ac:dyDescent="0.2">
      <c r="A35" s="178"/>
      <c r="B35" s="270"/>
      <c r="C35" s="213">
        <f t="shared" si="2"/>
        <v>0</v>
      </c>
      <c r="D35" s="214">
        <f>H35/E35</f>
        <v>0</v>
      </c>
      <c r="E35" s="212">
        <v>16</v>
      </c>
      <c r="F35" s="233"/>
      <c r="G35" s="180" t="s">
        <v>173</v>
      </c>
      <c r="H35" s="258">
        <f>SUM(T35:AL35)</f>
        <v>0</v>
      </c>
      <c r="I35" s="259">
        <f t="shared" si="1"/>
        <v>0</v>
      </c>
      <c r="J35" s="259"/>
      <c r="K35" s="259"/>
      <c r="L35" s="189"/>
      <c r="M35" s="189"/>
      <c r="N35" s="189"/>
      <c r="O35" s="189"/>
      <c r="P35" s="189"/>
      <c r="Q35" s="189"/>
      <c r="R35" s="189"/>
      <c r="S35" s="238"/>
      <c r="T35" s="260">
        <f>SUMIF($I2:$I12,"july",T2:T12)</f>
        <v>0</v>
      </c>
      <c r="U35" s="260">
        <f>SUMIF($I2:$I12,"july",U2:U12)</f>
        <v>0</v>
      </c>
      <c r="V35" s="260">
        <f>SUMIF($I2:$I12,"july",V2:V12)</f>
        <v>0</v>
      </c>
      <c r="W35" s="261">
        <f>SUMIF($I2:$I12,"july",W2:W12)</f>
        <v>0</v>
      </c>
      <c r="X35" s="260">
        <f>SUMIF($I2:$I12,"july",X2:X12)</f>
        <v>0</v>
      </c>
      <c r="Y35" s="260">
        <f>SUMIF($I2:$I12,"july",Y2:Y12)</f>
        <v>0</v>
      </c>
      <c r="Z35" s="260">
        <f>SUMIF($I2:$I12,"july",Z2:Z12)</f>
        <v>0</v>
      </c>
      <c r="AA35" s="260">
        <f>SUMIF($I2:$I12,"july",AA2:AA12)</f>
        <v>0</v>
      </c>
      <c r="AB35" s="260">
        <f>SUMIF($I2:$I12,"july",AB2:AB12)</f>
        <v>0</v>
      </c>
      <c r="AC35" s="260">
        <f>SUMIF($I2:$I12,"july",AC2:AC12)</f>
        <v>0</v>
      </c>
      <c r="AD35" s="260">
        <f>SUMIF($I2:$I12,"july",AD2:AD12)</f>
        <v>0</v>
      </c>
      <c r="AE35" s="260">
        <f>SUMIF($I2:$I12,"july",AE2:AE12)</f>
        <v>0</v>
      </c>
      <c r="AF35" s="260">
        <f>SUMIF($I2:$I12,"july",AF2:AF12)</f>
        <v>0</v>
      </c>
      <c r="AG35" s="260">
        <f>SUMIF($I2:$I12,"july",AG2:AG12)</f>
        <v>0</v>
      </c>
      <c r="AH35" s="260">
        <f>SUMIF($I2:$I12,"july",AH2:AH12)</f>
        <v>0</v>
      </c>
      <c r="AI35" s="260">
        <f>SUMIF($I2:$I12,"july",AI2:AI12)</f>
        <v>0</v>
      </c>
      <c r="AJ35" s="260">
        <f>SUMIF($I2:$I12,"july",AJ2:AJ12)</f>
        <v>0</v>
      </c>
      <c r="AK35" s="260">
        <f>SUMIF($I2:$I12,"july",AK2:AK12)</f>
        <v>0</v>
      </c>
      <c r="AL35" s="260">
        <f>SUMIF($I2:$I12,"july",AL2:AL12)</f>
        <v>0</v>
      </c>
      <c r="AM35" s="260">
        <f>SUMIF($I2:$I12,"july",AM2:AM12)</f>
        <v>0</v>
      </c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8"/>
      <c r="BT35" s="178"/>
      <c r="BU35" s="178"/>
      <c r="BV35" s="178"/>
      <c r="BW35" s="178"/>
      <c r="BX35" s="17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</row>
    <row r="36" spans="1:86" ht="15.75" customHeight="1" x14ac:dyDescent="0.2">
      <c r="A36" s="148"/>
      <c r="B36" s="204"/>
      <c r="C36" s="220">
        <f t="shared" si="2"/>
        <v>0</v>
      </c>
      <c r="D36" s="221">
        <f t="shared" ref="D36:D40" si="4">H36/E36</f>
        <v>0</v>
      </c>
      <c r="E36" s="204">
        <v>16</v>
      </c>
      <c r="F36" s="222"/>
      <c r="G36" s="223" t="s">
        <v>174</v>
      </c>
      <c r="H36" s="262">
        <f>SUM(T36:AL36)</f>
        <v>0</v>
      </c>
      <c r="I36" s="263">
        <f t="shared" si="1"/>
        <v>0</v>
      </c>
      <c r="J36" s="263"/>
      <c r="K36" s="263"/>
      <c r="L36" s="158"/>
      <c r="M36" s="158"/>
      <c r="N36" s="158"/>
      <c r="O36" s="158"/>
      <c r="P36" s="158"/>
      <c r="Q36" s="158"/>
      <c r="R36" s="158"/>
      <c r="S36" s="240"/>
      <c r="T36" s="264">
        <f>SUMIF($I2:$I12,"august",T2:T12)</f>
        <v>0</v>
      </c>
      <c r="U36" s="264">
        <f>SUMIF($I4:$I12,"august",U4:U12)</f>
        <v>0</v>
      </c>
      <c r="V36" s="264">
        <f>SUMIF($I4:$I12,"august",V4:V12)</f>
        <v>0</v>
      </c>
      <c r="W36" s="265">
        <f>SUMIF($I4:$I12,"august",W4:W12)</f>
        <v>0</v>
      </c>
      <c r="X36" s="264">
        <f>SUMIF($I4:$I12,"august",X4:X12)</f>
        <v>0</v>
      </c>
      <c r="Y36" s="264">
        <f>SUMIF($I4:$I12,"august",Y4:Y12)</f>
        <v>0</v>
      </c>
      <c r="Z36" s="264">
        <f>SUMIF($I4:$I12,"august",Z4:Z12)</f>
        <v>0</v>
      </c>
      <c r="AA36" s="264">
        <f>SUMIF($I4:$I12,"august",AA4:AA12)</f>
        <v>0</v>
      </c>
      <c r="AB36" s="264">
        <f>SUMIF($I4:$I12,"august",AB4:AB12)</f>
        <v>0</v>
      </c>
      <c r="AC36" s="264">
        <f>SUMIF($I4:$I12,"august",AC4:AC12)</f>
        <v>0</v>
      </c>
      <c r="AD36" s="264">
        <f>SUMIF($I4:$I12,"august",AD4:AD12)</f>
        <v>0</v>
      </c>
      <c r="AE36" s="264">
        <f>SUMIF($I4:$I12,"august",AE4:AE12)</f>
        <v>0</v>
      </c>
      <c r="AF36" s="264">
        <f>SUMIF($I4:$I12,"august",AF4:AF12)</f>
        <v>0</v>
      </c>
      <c r="AG36" s="264">
        <f>SUMIF($I4:$I12,"august",AG4:AG12)</f>
        <v>0</v>
      </c>
      <c r="AH36" s="264">
        <f>SUMIF($I4:$I12,"august",AH4:AH12)</f>
        <v>0</v>
      </c>
      <c r="AI36" s="264">
        <f>SUMIF($I4:$I12,"august",AI4:AI12)</f>
        <v>0</v>
      </c>
      <c r="AJ36" s="264">
        <f>SUMIF($I4:$I12,"august",AJ4:AJ12)</f>
        <v>0</v>
      </c>
      <c r="AK36" s="264">
        <f>SUMIF($I4:$I12,"august",AK4:AK12)</f>
        <v>0</v>
      </c>
      <c r="AL36" s="264">
        <f>SUMIF($I4:$I12,"august",AL4:AL12)</f>
        <v>0</v>
      </c>
      <c r="AM36" s="264">
        <f>SUMIF($I4:$I12,"august",AM4:AM12)</f>
        <v>0</v>
      </c>
    </row>
    <row r="37" spans="1:86" ht="15.75" customHeight="1" thickBot="1" x14ac:dyDescent="0.25">
      <c r="A37" s="148"/>
      <c r="B37" s="204"/>
      <c r="C37" s="220">
        <f t="shared" si="2"/>
        <v>0</v>
      </c>
      <c r="D37" s="221">
        <f t="shared" si="4"/>
        <v>0</v>
      </c>
      <c r="E37" s="204">
        <v>16</v>
      </c>
      <c r="F37" s="229"/>
      <c r="G37" s="183" t="s">
        <v>175</v>
      </c>
      <c r="H37" s="266">
        <f>SUM(T37:AL37)</f>
        <v>0</v>
      </c>
      <c r="I37" s="267">
        <f t="shared" si="1"/>
        <v>0</v>
      </c>
      <c r="J37" s="267"/>
      <c r="K37" s="267"/>
      <c r="L37" s="175"/>
      <c r="M37" s="175"/>
      <c r="N37" s="175"/>
      <c r="O37" s="175"/>
      <c r="P37" s="175"/>
      <c r="Q37" s="175"/>
      <c r="R37" s="175"/>
      <c r="S37" s="241"/>
      <c r="T37" s="268">
        <f>SUMIF($I2:$I12,"september",T2:T12)</f>
        <v>0</v>
      </c>
      <c r="U37" s="268">
        <f>SUMIF($I5:$I12,"september",U5:U12)</f>
        <v>0</v>
      </c>
      <c r="V37" s="268">
        <f>SUMIF($I5:$I12,"september",V5:V12)</f>
        <v>0</v>
      </c>
      <c r="W37" s="269">
        <f>SUMIF($I5:$I12,"september",W5:W12)</f>
        <v>0</v>
      </c>
      <c r="X37" s="268">
        <f>SUMIF($I5:$I12,"september",X5:X12)</f>
        <v>0</v>
      </c>
      <c r="Y37" s="268">
        <f>SUMIF($I5:$I12,"september",Y5:Y12)</f>
        <v>0</v>
      </c>
      <c r="Z37" s="268">
        <f>SUMIF($I5:$I12,"september",Z5:Z12)</f>
        <v>0</v>
      </c>
      <c r="AA37" s="268">
        <f>SUMIF($I5:$I12,"september",AA5:AA12)</f>
        <v>0</v>
      </c>
      <c r="AB37" s="268">
        <f>SUMIF($I5:$I12,"september",AB5:AB12)</f>
        <v>0</v>
      </c>
      <c r="AC37" s="268">
        <f>SUMIF($I5:$I12,"september",AC5:AC12)</f>
        <v>0</v>
      </c>
      <c r="AD37" s="268">
        <f>SUMIF($I5:$I12,"september",AD5:AD12)</f>
        <v>0</v>
      </c>
      <c r="AE37" s="268">
        <f>SUMIF($I5:$I12,"september",AE5:AE12)</f>
        <v>0</v>
      </c>
      <c r="AF37" s="268">
        <f>SUMIF($I5:$I12,"september",AF5:AF12)</f>
        <v>0</v>
      </c>
      <c r="AG37" s="268">
        <f>SUMIF($I5:$I12,"september",AG5:AG12)</f>
        <v>0</v>
      </c>
      <c r="AH37" s="268">
        <f>SUMIF($I5:$I12,"september",AH5:AH12)</f>
        <v>0</v>
      </c>
      <c r="AI37" s="268">
        <f>SUMIF($I5:$I12,"september",AI5:AI12)</f>
        <v>0</v>
      </c>
      <c r="AJ37" s="268">
        <f>SUMIF($I5:$I12,"september",AJ5:AJ12)</f>
        <v>0</v>
      </c>
      <c r="AK37" s="268">
        <f>SUMIF($I5:$I12,"september",AK5:AK12)</f>
        <v>0</v>
      </c>
      <c r="AL37" s="268">
        <f>SUMIF($I5:$I12,"september",AL5:AL12)</f>
        <v>0</v>
      </c>
      <c r="AM37" s="268">
        <f>SUMIF($I5:$I12,"september",AM5:AM12)</f>
        <v>0</v>
      </c>
    </row>
    <row r="38" spans="1:86" s="179" customFormat="1" ht="15.75" customHeight="1" x14ac:dyDescent="0.2">
      <c r="A38" s="178"/>
      <c r="B38" s="270"/>
      <c r="C38" s="213">
        <f t="shared" ca="1" si="2"/>
        <v>0</v>
      </c>
      <c r="D38" s="214">
        <f t="shared" ca="1" si="4"/>
        <v>0</v>
      </c>
      <c r="E38" s="270">
        <v>17</v>
      </c>
      <c r="F38" s="233"/>
      <c r="G38" s="180" t="s">
        <v>176</v>
      </c>
      <c r="H38" s="258">
        <f ca="1">SUM(T38:AL38)</f>
        <v>0</v>
      </c>
      <c r="I38" s="259">
        <f ca="1">H38/23</f>
        <v>0</v>
      </c>
      <c r="J38" s="259"/>
      <c r="K38" s="259"/>
      <c r="L38" s="189"/>
      <c r="M38" s="189"/>
      <c r="N38" s="189"/>
      <c r="O38" s="189"/>
      <c r="P38" s="189"/>
      <c r="Q38" s="189"/>
      <c r="R38" s="189"/>
      <c r="S38" s="238"/>
      <c r="T38" s="260">
        <f ca="1">SUMIF($I2:$I13,"october",T2:T12)</f>
        <v>0</v>
      </c>
      <c r="U38" s="260">
        <f ca="1">SUMIF($I2:$I13,"october",U2:U12)</f>
        <v>0</v>
      </c>
      <c r="V38" s="260">
        <f ca="1">SUMIF($I2:$I13,"october",V2:V12)</f>
        <v>0</v>
      </c>
      <c r="W38" s="260">
        <f ca="1">SUMIF($I2:$I13,"october",W2:W12)</f>
        <v>0</v>
      </c>
      <c r="X38" s="260">
        <f ca="1">SUMIF($I2:$I13,"october",X2:X12)</f>
        <v>0</v>
      </c>
      <c r="Y38" s="260">
        <f ca="1">SUMIF($I2:$I13,"october",Y2:Y12)</f>
        <v>0</v>
      </c>
      <c r="Z38" s="260">
        <f ca="1">SUMIF($I2:$I13,"october",Z2:Z12)</f>
        <v>0</v>
      </c>
      <c r="AA38" s="260">
        <f ca="1">SUMIF($I2:$I13,"october",AA2:AA12)</f>
        <v>0</v>
      </c>
      <c r="AB38" s="260">
        <f ca="1">SUMIF($I2:$I13,"october",AB2:AB12)</f>
        <v>0</v>
      </c>
      <c r="AC38" s="260">
        <f ca="1">SUMIF($I2:$I13,"october",AC2:AC12)</f>
        <v>0</v>
      </c>
      <c r="AD38" s="260">
        <f ca="1">SUMIF($I2:$I13,"october",AD2:AD12)</f>
        <v>0</v>
      </c>
      <c r="AE38" s="260">
        <f ca="1">SUMIF($I2:$I13,"october",AE2:AE12)</f>
        <v>0</v>
      </c>
      <c r="AF38" s="260">
        <f ca="1">SUMIF($I2:$I13,"october",AF2:AF12)</f>
        <v>0</v>
      </c>
      <c r="AG38" s="260">
        <f ca="1">SUMIF($I2:$I13,"october",AG2:AG12)</f>
        <v>0</v>
      </c>
      <c r="AH38" s="260">
        <f ca="1">SUMIF($I2:$I13,"october",AH2:AH12)</f>
        <v>0</v>
      </c>
      <c r="AI38" s="260">
        <f ca="1">SUMIF($I2:$I13,"october",AI2:AI12)</f>
        <v>0</v>
      </c>
      <c r="AJ38" s="260">
        <f ca="1">SUMIF($I2:$I13,"october",AJ2:AJ12)</f>
        <v>0</v>
      </c>
      <c r="AK38" s="260">
        <f ca="1">SUMIF($I2:$I13,"october",AK2:AK12)</f>
        <v>0</v>
      </c>
      <c r="AL38" s="260">
        <f ca="1">SUMIF($I2:$I13,"october",AL2:AL12)</f>
        <v>0</v>
      </c>
      <c r="AM38" s="260">
        <f ca="1">SUMIF($I2:$I13,"october",AM2:AM12)</f>
        <v>0</v>
      </c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8"/>
      <c r="CG38" s="178"/>
      <c r="CH38" s="178"/>
    </row>
    <row r="39" spans="1:86" ht="15.75" customHeight="1" x14ac:dyDescent="0.2">
      <c r="A39" s="148"/>
      <c r="B39" s="204"/>
      <c r="C39" s="220">
        <f t="shared" si="2"/>
        <v>0</v>
      </c>
      <c r="D39" s="221">
        <f t="shared" si="4"/>
        <v>0</v>
      </c>
      <c r="E39" s="204">
        <v>18</v>
      </c>
      <c r="F39" s="222"/>
      <c r="G39" s="223" t="s">
        <v>177</v>
      </c>
      <c r="H39" s="262">
        <f>SUM(T39:AL39)</f>
        <v>0</v>
      </c>
      <c r="I39" s="263">
        <f>H39/23</f>
        <v>0</v>
      </c>
      <c r="J39" s="263"/>
      <c r="K39" s="263"/>
      <c r="L39" s="158"/>
      <c r="M39" s="158"/>
      <c r="N39" s="158"/>
      <c r="O39" s="158"/>
      <c r="P39" s="158"/>
      <c r="Q39" s="158"/>
      <c r="R39" s="158"/>
      <c r="S39" s="240"/>
      <c r="T39" s="264">
        <f>SUMIF($I3:$I13,"november",T3:T13)</f>
        <v>0</v>
      </c>
      <c r="U39" s="264">
        <f>SUMIF($I3:$I13,"november",U3:U13)</f>
        <v>0</v>
      </c>
      <c r="V39" s="264">
        <f>SUMIF($I3:$I13,"november",V3:V13)</f>
        <v>0</v>
      </c>
      <c r="W39" s="264">
        <f>SUMIF($I3:$I13,"november",W3:W13)</f>
        <v>0</v>
      </c>
      <c r="X39" s="264">
        <f>SUMIF($I3:$I13,"november",X3:X13)</f>
        <v>0</v>
      </c>
      <c r="Y39" s="264">
        <f>SUMIF($I3:$I13,"november",Y3:Y13)</f>
        <v>0</v>
      </c>
      <c r="Z39" s="264">
        <f>SUMIF($I3:$I13,"november",Z3:Z13)</f>
        <v>0</v>
      </c>
      <c r="AA39" s="264">
        <f>SUMIF($I3:$I13,"november",AA3:AA13)</f>
        <v>0</v>
      </c>
      <c r="AB39" s="264">
        <f>SUMIF($I3:$I13,"november",AB3:AB13)</f>
        <v>0</v>
      </c>
      <c r="AC39" s="264">
        <f>SUMIF($I3:$I13,"november",AC3:AC13)</f>
        <v>0</v>
      </c>
      <c r="AD39" s="264">
        <f>SUMIF($I3:$I13,"november",AD3:AD13)</f>
        <v>0</v>
      </c>
      <c r="AE39" s="264">
        <f>SUMIF($I3:$I13,"november",AE3:AE13)</f>
        <v>0</v>
      </c>
      <c r="AF39" s="264">
        <f>SUMIF($I3:$I13,"november",AF3:AF13)</f>
        <v>0</v>
      </c>
      <c r="AG39" s="264">
        <f>SUMIF($I3:$I13,"november",AG3:AG13)</f>
        <v>0</v>
      </c>
      <c r="AH39" s="264">
        <f>SUMIF($I3:$I13,"november",AH3:AH13)</f>
        <v>0</v>
      </c>
      <c r="AI39" s="264">
        <f>SUMIF($I3:$I13,"november",AI3:AI13)</f>
        <v>0</v>
      </c>
      <c r="AJ39" s="264">
        <f>SUMIF($I3:$I13,"november",AJ3:AJ13)</f>
        <v>0</v>
      </c>
      <c r="AK39" s="264">
        <f>SUMIF($I3:$I13,"november",AK3:AK13)</f>
        <v>0</v>
      </c>
      <c r="AL39" s="264">
        <f>SUMIF($I3:$I13,"november",AL3:AL13)</f>
        <v>0</v>
      </c>
      <c r="AM39" s="268">
        <f>SUMIF($I3:$I13,"november",AM3:AM13)</f>
        <v>0</v>
      </c>
    </row>
    <row r="40" spans="1:86" ht="15.75" customHeight="1" thickBot="1" x14ac:dyDescent="0.25">
      <c r="A40" s="148"/>
      <c r="B40" s="204"/>
      <c r="C40" s="220">
        <f t="shared" si="2"/>
        <v>0</v>
      </c>
      <c r="D40" s="221">
        <f t="shared" si="4"/>
        <v>0</v>
      </c>
      <c r="E40" s="204">
        <v>19</v>
      </c>
      <c r="F40" s="229"/>
      <c r="G40" s="183" t="s">
        <v>178</v>
      </c>
      <c r="H40" s="266">
        <f>SUM(T40:AL40)</f>
        <v>0</v>
      </c>
      <c r="I40" s="267">
        <f>H40/23</f>
        <v>0</v>
      </c>
      <c r="J40" s="267"/>
      <c r="K40" s="267"/>
      <c r="L40" s="175"/>
      <c r="M40" s="175"/>
      <c r="N40" s="175"/>
      <c r="O40" s="175"/>
      <c r="P40" s="175"/>
      <c r="Q40" s="175"/>
      <c r="R40" s="175"/>
      <c r="S40" s="271"/>
      <c r="T40" s="268">
        <f>SUMIF($I4:$I13,"december",T4:T13)</f>
        <v>0</v>
      </c>
      <c r="U40" s="268">
        <f>SUMIF($I4:$I13,"december",U4:U13)</f>
        <v>0</v>
      </c>
      <c r="V40" s="268">
        <f>SUMIF($I4:$I13,"december",V4:V13)</f>
        <v>0</v>
      </c>
      <c r="W40" s="268">
        <f>SUMIF($I4:$I13,"december",W4:W13)</f>
        <v>0</v>
      </c>
      <c r="X40" s="268">
        <f>SUMIF($I4:$I13,"december",X4:X13)</f>
        <v>0</v>
      </c>
      <c r="Y40" s="268">
        <f>SUMIF($I4:$I13,"december",Y4:Y13)</f>
        <v>0</v>
      </c>
      <c r="Z40" s="268">
        <f>SUMIF($I4:$I13,"december",Z4:Z13)</f>
        <v>0</v>
      </c>
      <c r="AA40" s="268">
        <f>SUMIF($I4:$I13,"december",AA4:AA13)</f>
        <v>0</v>
      </c>
      <c r="AB40" s="268">
        <f>SUMIF($I4:$I13,"december",AB4:AB13)</f>
        <v>0</v>
      </c>
      <c r="AC40" s="268">
        <f>SUMIF($I4:$I13,"december",AC4:AC13)</f>
        <v>0</v>
      </c>
      <c r="AD40" s="268">
        <f>SUMIF($I4:$I13,"december",AD4:AD13)</f>
        <v>0</v>
      </c>
      <c r="AE40" s="268">
        <f>SUMIF($I4:$I13,"december",AE4:AE13)</f>
        <v>0</v>
      </c>
      <c r="AF40" s="268">
        <f>SUMIF($I4:$I13,"december",AF4:AF13)</f>
        <v>0</v>
      </c>
      <c r="AG40" s="268">
        <f>SUMIF($I4:$I13,"december",AG4:AG13)</f>
        <v>0</v>
      </c>
      <c r="AH40" s="268">
        <f>SUMIF($I4:$I13,"december",AH4:AH13)</f>
        <v>0</v>
      </c>
      <c r="AI40" s="268">
        <f>SUMIF($I4:$I13,"december",AI4:AI13)</f>
        <v>0</v>
      </c>
      <c r="AJ40" s="268">
        <f>SUMIF($I4:$I13,"december",AJ4:AJ13)</f>
        <v>0</v>
      </c>
      <c r="AK40" s="268">
        <f>SUMIF($I4:$I13,"december",AK4:AK13)</f>
        <v>0</v>
      </c>
      <c r="AL40" s="272">
        <f>SUMIF($I4:$I13,"december",AL4:AL13)</f>
        <v>0</v>
      </c>
      <c r="AM40" s="273">
        <f>SUMIF($I4:$I13,"december",AM4:AM13)</f>
        <v>0</v>
      </c>
    </row>
    <row r="41" spans="1:86" s="179" customFormat="1" ht="15.75" customHeight="1" x14ac:dyDescent="0.2">
      <c r="A41" s="178"/>
      <c r="B41" s="270"/>
      <c r="C41" s="178"/>
      <c r="D41" s="178"/>
      <c r="E41" s="178"/>
      <c r="F41" s="233"/>
      <c r="G41" s="180" t="s">
        <v>179</v>
      </c>
      <c r="H41" s="258">
        <f ca="1">SUM(T41:AL41)</f>
        <v>0</v>
      </c>
      <c r="I41" s="259">
        <f t="shared" ref="I41:I43" ca="1" si="5">H41/24</f>
        <v>0</v>
      </c>
      <c r="J41" s="259"/>
      <c r="K41" s="259"/>
      <c r="L41" s="189"/>
      <c r="M41" s="189"/>
      <c r="N41" s="189"/>
      <c r="O41" s="189"/>
      <c r="P41" s="189"/>
      <c r="Q41" s="189"/>
      <c r="R41" s="189"/>
      <c r="S41" s="274"/>
      <c r="T41" s="275">
        <f>SUMIF($I5:$I14,"january",T5:T14)</f>
        <v>0</v>
      </c>
      <c r="U41" s="275">
        <f>SUMIF($I5:$I14,"january",U5:U14)</f>
        <v>0</v>
      </c>
      <c r="V41" s="275">
        <f>SUMIF($I5:$I14,"january",V5:V14)</f>
        <v>0</v>
      </c>
      <c r="W41" s="275">
        <f ca="1">SUMIF($I5:$I14,"january",W5:W13)</f>
        <v>0</v>
      </c>
      <c r="X41" s="275">
        <f>SUMIF($I5:$I14,"january",X5:X14)</f>
        <v>0</v>
      </c>
      <c r="Y41" s="275">
        <f>SUMIF($I5:$I14,"january",Y5:Y14)</f>
        <v>0</v>
      </c>
      <c r="Z41" s="275">
        <f>SUMIF($I5:$I14,"january",Z5:Z14)</f>
        <v>0</v>
      </c>
      <c r="AA41" s="275">
        <f>SUMIF($I5:$I14,"january",AA5:AA14)</f>
        <v>0</v>
      </c>
      <c r="AB41" s="275">
        <f>SUMIF($I5:$I14,"january",AB5:AB14)</f>
        <v>0</v>
      </c>
      <c r="AC41" s="275">
        <f>SUMIF($I5:$I14,"january",AC5:AC14)</f>
        <v>0</v>
      </c>
      <c r="AD41" s="275">
        <f>SUMIF($I5:$I14,"january",AD5:AD14)</f>
        <v>0</v>
      </c>
      <c r="AE41" s="275">
        <f>SUMIF($I5:$I14,"january",AE5:AE14)</f>
        <v>0</v>
      </c>
      <c r="AF41" s="275">
        <f>SUMIF($I5:$I14,"january",AF5:AF14)</f>
        <v>0</v>
      </c>
      <c r="AG41" s="275">
        <f>SUMIF($I5:$I14,"january",AG5:AG14)</f>
        <v>0</v>
      </c>
      <c r="AH41" s="275">
        <f>SUMIF($I5:$I14,"january",AH5:AH14)</f>
        <v>0</v>
      </c>
      <c r="AI41" s="275">
        <f>SUMIF($I5:$I14,"january",AI5:AI14)</f>
        <v>0</v>
      </c>
      <c r="AJ41" s="275">
        <f>SUMIF($I5:$I14,"january",AJ5:AJ14)</f>
        <v>0</v>
      </c>
      <c r="AK41" s="275">
        <f>SUMIF($I5:$I14,"january",AK5:AK14)</f>
        <v>0</v>
      </c>
      <c r="AL41" s="275">
        <f>SUMIF($I5:$I14,"january",AL5:AL14)</f>
        <v>0</v>
      </c>
      <c r="AM41" s="275">
        <f>SUMIF($I5:$I14,"january",AM5:AM14)</f>
        <v>0</v>
      </c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8"/>
      <c r="BN41" s="178"/>
      <c r="BO41" s="178"/>
      <c r="BP41" s="178"/>
      <c r="BQ41" s="178"/>
      <c r="BR41" s="178"/>
      <c r="BS41" s="178"/>
      <c r="BT41" s="178"/>
      <c r="BU41" s="178"/>
      <c r="BV41" s="178"/>
      <c r="BW41" s="178"/>
      <c r="BX41" s="178"/>
      <c r="BY41" s="178"/>
      <c r="BZ41" s="178"/>
      <c r="CA41" s="178"/>
      <c r="CB41" s="178"/>
      <c r="CC41" s="178"/>
      <c r="CD41" s="178"/>
      <c r="CE41" s="178"/>
      <c r="CF41" s="178"/>
      <c r="CG41" s="178"/>
      <c r="CH41" s="178"/>
    </row>
    <row r="42" spans="1:86" ht="15.75" customHeight="1" x14ac:dyDescent="0.2">
      <c r="A42" s="148"/>
      <c r="B42" s="204"/>
      <c r="C42" s="148"/>
      <c r="D42" s="148"/>
      <c r="E42" s="148"/>
      <c r="F42" s="222"/>
      <c r="G42" s="223" t="s">
        <v>180</v>
      </c>
      <c r="H42" s="262">
        <f ca="1">SUM(T42:AL42)</f>
        <v>0</v>
      </c>
      <c r="I42" s="263">
        <f t="shared" ca="1" si="5"/>
        <v>0</v>
      </c>
      <c r="J42" s="263"/>
      <c r="K42" s="263"/>
      <c r="L42" s="158"/>
      <c r="M42" s="158"/>
      <c r="N42" s="158"/>
      <c r="O42" s="158"/>
      <c r="P42" s="158"/>
      <c r="Q42" s="158"/>
      <c r="R42" s="158"/>
      <c r="S42" s="240"/>
      <c r="T42" s="264">
        <f ca="1">SUMIF($I6:$I15,"february",T6:T13)</f>
        <v>0</v>
      </c>
      <c r="U42" s="264">
        <f ca="1">SUMIF($I6:$I15,"february",U6:U13)</f>
        <v>0</v>
      </c>
      <c r="V42" s="264">
        <f ca="1">SUMIF($I6:$I15,"february",V6:V13)</f>
        <v>0</v>
      </c>
      <c r="W42" s="264">
        <f>SUMIF($I6:$I13,"february",W6:W13)</f>
        <v>0</v>
      </c>
      <c r="X42" s="264">
        <f ca="1">SUMIF($I6:$I15,"february",X6:X13)</f>
        <v>0</v>
      </c>
      <c r="Y42" s="264">
        <f ca="1">SUMIF($I6:$I15,"february",Y6:Y13)</f>
        <v>0</v>
      </c>
      <c r="Z42" s="264">
        <f ca="1">SUMIF($I6:$I15,"february",Z6:Z13)</f>
        <v>0</v>
      </c>
      <c r="AA42" s="264">
        <f ca="1">SUMIF($I6:$I15,"february",AA6:AA13)</f>
        <v>0</v>
      </c>
      <c r="AB42" s="264">
        <f ca="1">SUMIF($I6:$I15,"february",AB6:AB13)</f>
        <v>0</v>
      </c>
      <c r="AC42" s="264">
        <f ca="1">SUMIF($I6:$I15,"february",AC6:AC13)</f>
        <v>0</v>
      </c>
      <c r="AD42" s="264">
        <f ca="1">SUMIF($I6:$I15,"february",AD6:AD13)</f>
        <v>0</v>
      </c>
      <c r="AE42" s="264">
        <f ca="1">SUMIF($I6:$I15,"february",AE6:AE13)</f>
        <v>0</v>
      </c>
      <c r="AF42" s="264">
        <f ca="1">SUMIF($I6:$I15,"february",AF6:AF13)</f>
        <v>0</v>
      </c>
      <c r="AG42" s="264">
        <f ca="1">SUMIF($I6:$I15,"february",AG6:AG13)</f>
        <v>0</v>
      </c>
      <c r="AH42" s="264">
        <f ca="1">SUMIF($I6:$I15,"february",AH6:AH13)</f>
        <v>0</v>
      </c>
      <c r="AI42" s="264">
        <f ca="1">SUMIF($I6:$I15,"february",AI6:AI13)</f>
        <v>0</v>
      </c>
      <c r="AJ42" s="264">
        <f ca="1">SUMIF($I6:$I15,"february",AJ6:AJ13)</f>
        <v>0</v>
      </c>
      <c r="AK42" s="264">
        <f ca="1">SUMIF($I6:$I15,"february",AK6:AK13)</f>
        <v>0</v>
      </c>
      <c r="AL42" s="264">
        <f ca="1">SUMIF($I6:$I15,"february",AL6:AL13)</f>
        <v>0</v>
      </c>
      <c r="AM42" s="264">
        <f ca="1">SUMIF($I6:$I15,"february",AM6:AM13)</f>
        <v>0</v>
      </c>
    </row>
    <row r="43" spans="1:86" ht="15.75" customHeight="1" thickBot="1" x14ac:dyDescent="0.25">
      <c r="A43" s="148"/>
      <c r="B43" s="204"/>
      <c r="C43" s="148"/>
      <c r="D43" s="148"/>
      <c r="E43" s="148"/>
      <c r="F43" s="229"/>
      <c r="G43" s="183" t="s">
        <v>181</v>
      </c>
      <c r="H43" s="266">
        <f>SUM(T43:AL43)</f>
        <v>0</v>
      </c>
      <c r="I43" s="267">
        <f t="shared" si="5"/>
        <v>0</v>
      </c>
      <c r="J43" s="267"/>
      <c r="K43" s="267"/>
      <c r="L43" s="175"/>
      <c r="M43" s="175"/>
      <c r="N43" s="175"/>
      <c r="O43" s="175"/>
      <c r="P43" s="175"/>
      <c r="Q43" s="175"/>
      <c r="R43" s="175"/>
      <c r="S43" s="241"/>
      <c r="T43" s="276">
        <f>SUMIF($I7:$I16,"march",T7:T16)</f>
        <v>0</v>
      </c>
      <c r="U43" s="276">
        <f>SUMIF($I7:$I16,"march",U7:U16)</f>
        <v>0</v>
      </c>
      <c r="V43" s="276">
        <f>SUMIF($I7:$I16,"march",V7:V16)</f>
        <v>0</v>
      </c>
      <c r="W43" s="276">
        <f>SUMIF($I7:$I16,"march",W7:W16)</f>
        <v>0</v>
      </c>
      <c r="X43" s="276">
        <f>SUMIF($I7:$I16,"march",X7:X16)</f>
        <v>0</v>
      </c>
      <c r="Y43" s="276">
        <f>SUMIF($I7:$I16,"march",Y7:Y16)</f>
        <v>0</v>
      </c>
      <c r="Z43" s="276">
        <f>SUMIF($I7:$I16,"march",Z7:Z16)</f>
        <v>0</v>
      </c>
      <c r="AA43" s="276">
        <f>SUMIF($I7:$I16,"march",AA7:AA16)</f>
        <v>0</v>
      </c>
      <c r="AB43" s="276">
        <f>SUMIF($I7:$I16,"march",AB7:AB16)</f>
        <v>0</v>
      </c>
      <c r="AC43" s="276">
        <f>SUMIF($I7:$I16,"march",AC7:AC16)</f>
        <v>0</v>
      </c>
      <c r="AD43" s="276">
        <f>SUMIF($I7:$I16,"march",AD7:AD16)</f>
        <v>0</v>
      </c>
      <c r="AE43" s="276">
        <f>SUMIF($I7:$I16,"march",AE7:AE16)</f>
        <v>0</v>
      </c>
      <c r="AF43" s="276">
        <f>SUMIF($I7:$I16,"march",AF7:AF16)</f>
        <v>0</v>
      </c>
      <c r="AG43" s="276">
        <f>SUMIF($I7:$I16,"march",AG7:AG16)</f>
        <v>0</v>
      </c>
      <c r="AH43" s="276">
        <f>SUMIF($I7:$I16,"march",AH7:AH16)</f>
        <v>0</v>
      </c>
      <c r="AI43" s="276">
        <f>SUMIF($I7:$I16,"march",AI7:AI16)</f>
        <v>0</v>
      </c>
      <c r="AJ43" s="276">
        <f>SUMIF($I7:$I16,"march",AJ7:AJ16)</f>
        <v>0</v>
      </c>
      <c r="AK43" s="276">
        <f>SUMIF($I7:$I16,"march",AK7:AK16)</f>
        <v>0</v>
      </c>
      <c r="AL43" s="276">
        <f>SUMIF($I7:$I16,"march",AL7:AL16)</f>
        <v>0</v>
      </c>
      <c r="AM43" s="277">
        <f>SUMIF($I7:$I16,"march",AM7:AM16)</f>
        <v>0</v>
      </c>
    </row>
    <row r="44" spans="1:86" s="252" customFormat="1" ht="14" thickBot="1" x14ac:dyDescent="0.25">
      <c r="A44" s="253"/>
      <c r="B44" s="278"/>
      <c r="C44" s="253"/>
      <c r="D44" s="253"/>
      <c r="E44" s="253"/>
      <c r="F44" s="279"/>
      <c r="G44" s="187" t="s">
        <v>96</v>
      </c>
      <c r="H44" s="280">
        <f ca="1">SUM(H32:H43)</f>
        <v>148500</v>
      </c>
      <c r="I44" s="281"/>
      <c r="J44" s="281"/>
      <c r="K44" s="281"/>
      <c r="L44" s="281"/>
      <c r="M44" s="279"/>
      <c r="N44" s="279"/>
      <c r="O44" s="279"/>
      <c r="P44" s="279"/>
      <c r="Q44" s="279"/>
      <c r="R44" s="279"/>
      <c r="S44" s="282"/>
      <c r="W44" s="283"/>
      <c r="AM44" s="284"/>
      <c r="AN44" s="253"/>
      <c r="AO44" s="253"/>
      <c r="AP44" s="253"/>
      <c r="AQ44" s="253"/>
      <c r="AR44" s="253"/>
      <c r="AS44" s="253"/>
      <c r="AT44" s="253"/>
      <c r="AU44" s="253"/>
      <c r="AV44" s="253"/>
      <c r="AW44" s="253"/>
      <c r="AX44" s="253"/>
      <c r="AY44" s="253"/>
      <c r="AZ44" s="253"/>
      <c r="BA44" s="253"/>
      <c r="BB44" s="253"/>
      <c r="BC44" s="253"/>
      <c r="BD44" s="253"/>
      <c r="BE44" s="253"/>
      <c r="BF44" s="253"/>
      <c r="BG44" s="253"/>
      <c r="BH44" s="253"/>
      <c r="BI44" s="253"/>
      <c r="BJ44" s="253"/>
      <c r="BK44" s="253"/>
      <c r="BL44" s="253"/>
      <c r="BM44" s="253"/>
      <c r="BN44" s="253"/>
      <c r="BO44" s="253"/>
      <c r="BP44" s="253"/>
      <c r="BQ44" s="253"/>
      <c r="BR44" s="253"/>
      <c r="BS44" s="253"/>
      <c r="BT44" s="253"/>
      <c r="BU44" s="253"/>
      <c r="BV44" s="253"/>
      <c r="BW44" s="253"/>
      <c r="BX44" s="253"/>
      <c r="BY44" s="253"/>
      <c r="BZ44" s="253"/>
      <c r="CA44" s="253"/>
      <c r="CB44" s="253"/>
      <c r="CC44" s="253"/>
      <c r="CD44" s="253"/>
      <c r="CE44" s="253"/>
      <c r="CF44" s="253"/>
      <c r="CG44" s="253"/>
      <c r="CH44" s="253"/>
    </row>
    <row r="45" spans="1:86" s="285" customFormat="1" x14ac:dyDescent="0.2">
      <c r="B45" s="286"/>
      <c r="I45" s="286"/>
      <c r="J45" s="286"/>
      <c r="K45" s="286"/>
      <c r="L45" s="286"/>
      <c r="W45" s="287"/>
    </row>
    <row r="46" spans="1:86" ht="15.75" customHeight="1" x14ac:dyDescent="0.2">
      <c r="A46" s="169"/>
      <c r="B46" s="169"/>
      <c r="C46" s="169"/>
      <c r="D46" s="169"/>
      <c r="E46" s="169"/>
      <c r="F46" s="151" t="s">
        <v>182</v>
      </c>
      <c r="G46" s="151" t="s">
        <v>171</v>
      </c>
      <c r="H46" s="262">
        <f>SUM(T46:AL46)</f>
        <v>148500</v>
      </c>
      <c r="I46" s="263">
        <f t="shared" ref="I46:I49" si="6">H46/24</f>
        <v>6187.5</v>
      </c>
      <c r="J46" s="263"/>
      <c r="K46" s="263"/>
      <c r="L46" s="158"/>
      <c r="M46" s="158"/>
      <c r="N46" s="158"/>
      <c r="O46" s="158"/>
      <c r="P46" s="158"/>
      <c r="Q46" s="158"/>
      <c r="R46" s="158"/>
      <c r="S46" s="240"/>
      <c r="T46" s="264">
        <f>SUMIF($H2:$H13,"APRIL",T2:T13)</f>
        <v>0</v>
      </c>
      <c r="U46" s="264">
        <f>SUMIF($H2:$H13,"APRIL",U2:U13)</f>
        <v>0</v>
      </c>
      <c r="V46" s="264">
        <f>SUMIF($H2:$H13,"APRIL",V2:V13)</f>
        <v>0</v>
      </c>
      <c r="W46" s="265">
        <f>SUMIF($H2:$H13,"APRIL",W2:W13)</f>
        <v>0</v>
      </c>
      <c r="X46" s="264">
        <f>SUMIF($H2:$H13,"APRIL",X2:X13)</f>
        <v>0</v>
      </c>
      <c r="Y46" s="264">
        <f>SUMIF($H2:$H13,"APRIL",Y2:Y13)</f>
        <v>0</v>
      </c>
      <c r="Z46" s="264">
        <f>SUMIF($H2:$H13,"APRIL",Z2:Z13)</f>
        <v>0</v>
      </c>
      <c r="AA46" s="264">
        <f>SUMIF($H2:$H13,"APRIL",AA2:AA13)</f>
        <v>0</v>
      </c>
      <c r="AB46" s="264">
        <f>SUMIF($H2:$H13,"APRIL",AB2:AB13)</f>
        <v>0</v>
      </c>
      <c r="AC46" s="264">
        <f>SUMIF($H2:$H13,"APRIL",AC2:AC13)</f>
        <v>0</v>
      </c>
      <c r="AD46" s="264">
        <f>SUMIF($H2:$H13,"APRIL",AD2:AD13)</f>
        <v>74250</v>
      </c>
      <c r="AE46" s="264">
        <f>SUMIF($H2:$H13,"APRIL",AE2:AE13)</f>
        <v>74250</v>
      </c>
      <c r="AF46" s="264">
        <f>SUMIF($H2:$H13,"APRIL",AF2:AF13)</f>
        <v>0</v>
      </c>
      <c r="AG46" s="264">
        <f>SUMIF($H2:$H13,"APRIL",AG2:AG13)</f>
        <v>0</v>
      </c>
      <c r="AH46" s="264">
        <f>SUMIF($H2:$H13,"APRIL",AH2:AH13)</f>
        <v>0</v>
      </c>
      <c r="AI46" s="264">
        <f>SUMIF($H2:$H13,"APRIL",AI2:AI13)</f>
        <v>0</v>
      </c>
      <c r="AJ46" s="264">
        <f>SUMIF($H2:$H13,"APRIL",AJ2:AJ13)</f>
        <v>0</v>
      </c>
      <c r="AK46" s="264">
        <f>SUMIF($H2:$H13,"APRIL",AK2:AK13)</f>
        <v>0</v>
      </c>
      <c r="AL46" s="264">
        <f>SUMIF($H2:$H13,"APRIL",AL2:AL13)</f>
        <v>0</v>
      </c>
      <c r="AM46" s="264">
        <f>SUMIF($H2:$H13,"APRIL",AM2:AM13)</f>
        <v>0</v>
      </c>
    </row>
    <row r="47" spans="1:86" ht="15.75" customHeight="1" x14ac:dyDescent="0.2">
      <c r="A47" s="169"/>
      <c r="B47" s="169"/>
      <c r="C47" s="169"/>
      <c r="D47" s="169"/>
      <c r="E47" s="169"/>
      <c r="F47" s="222"/>
      <c r="G47" s="223" t="s">
        <v>98</v>
      </c>
      <c r="H47" s="262">
        <f>SUM(T47:AL47)</f>
        <v>0</v>
      </c>
      <c r="I47" s="263">
        <f t="shared" si="6"/>
        <v>0</v>
      </c>
      <c r="J47" s="263"/>
      <c r="K47" s="263"/>
      <c r="L47" s="158"/>
      <c r="M47" s="158"/>
      <c r="N47" s="158"/>
      <c r="O47" s="158"/>
      <c r="P47" s="158"/>
      <c r="Q47" s="158"/>
      <c r="R47" s="158"/>
      <c r="S47" s="240"/>
      <c r="T47" s="264">
        <f>SUMIF($H2:$H13,"may",T2:T13)</f>
        <v>0</v>
      </c>
      <c r="U47" s="264">
        <f>SUMIF($H2:$H13,"may",U2:U13)</f>
        <v>0</v>
      </c>
      <c r="V47" s="264">
        <f>SUMIF($H2:$H13,"may",V2:V13)</f>
        <v>0</v>
      </c>
      <c r="W47" s="265">
        <f>SUMIF($H2:$H13,"may",W2:W13)</f>
        <v>0</v>
      </c>
      <c r="X47" s="264">
        <f>SUMIF($H2:$H13,"may",X2:X13)</f>
        <v>0</v>
      </c>
      <c r="Y47" s="264">
        <f>SUMIF($H2:$H13,"may",Y2:Y13)</f>
        <v>0</v>
      </c>
      <c r="Z47" s="264">
        <f>SUMIF($H2:$H13,"may",Z2:Z13)</f>
        <v>0</v>
      </c>
      <c r="AA47" s="264">
        <f>SUMIF($H2:$H13,"may",AA2:AA13)</f>
        <v>0</v>
      </c>
      <c r="AB47" s="264">
        <f>SUMIF($H2:$H13,"may",AB2:AB13)</f>
        <v>0</v>
      </c>
      <c r="AC47" s="264">
        <f>SUMIF($H2:$H13,"may",AC2:AC13)</f>
        <v>0</v>
      </c>
      <c r="AD47" s="264">
        <f>SUMIF($H2:$H13,"may",AD2:AD13)</f>
        <v>0</v>
      </c>
      <c r="AE47" s="264">
        <f>SUMIF($H2:$H13,"may",AE2:AE13)</f>
        <v>0</v>
      </c>
      <c r="AF47" s="264">
        <f>SUMIF($H2:$H13,"may",AF2:AF13)</f>
        <v>0</v>
      </c>
      <c r="AG47" s="264">
        <f>SUMIF($H2:$H13,"may",AG2:AG13)</f>
        <v>0</v>
      </c>
      <c r="AH47" s="264">
        <f>SUMIF($H2:$H13,"may",AH2:AH13)</f>
        <v>0</v>
      </c>
      <c r="AI47" s="264">
        <f>SUMIF($H2:$H13,"may",AI2:AI13)</f>
        <v>0</v>
      </c>
      <c r="AJ47" s="264">
        <f>SUMIF($H2:$H13,"may",AJ2:AJ13)</f>
        <v>0</v>
      </c>
      <c r="AK47" s="264">
        <f>SUMIF($H2:$H13,"may",AK2:AK13)</f>
        <v>0</v>
      </c>
      <c r="AL47" s="264">
        <f>SUMIF($H2:$H13,"may",AL2:AL13)</f>
        <v>0</v>
      </c>
      <c r="AM47" s="264">
        <f>SUMIF($H2:$H13,"may",AM2:AM13)</f>
        <v>0</v>
      </c>
    </row>
    <row r="48" spans="1:86" ht="15.75" customHeight="1" thickBot="1" x14ac:dyDescent="0.25">
      <c r="A48" s="148"/>
      <c r="B48" s="204"/>
      <c r="C48" s="148"/>
      <c r="D48" s="148"/>
      <c r="E48" s="148"/>
      <c r="F48" s="229"/>
      <c r="G48" s="183" t="s">
        <v>172</v>
      </c>
      <c r="H48" s="266">
        <f>SUM(T48:AL48)</f>
        <v>0</v>
      </c>
      <c r="I48" s="267">
        <f t="shared" si="6"/>
        <v>0</v>
      </c>
      <c r="J48" s="267"/>
      <c r="K48" s="267"/>
      <c r="L48" s="175"/>
      <c r="M48" s="175"/>
      <c r="N48" s="175"/>
      <c r="O48" s="175"/>
      <c r="P48" s="175"/>
      <c r="Q48" s="175"/>
      <c r="R48" s="175"/>
      <c r="S48" s="241"/>
      <c r="T48" s="268">
        <f>SUMIF($H2:$H12,"june",T2:T12)</f>
        <v>0</v>
      </c>
      <c r="U48" s="268">
        <f>SUMIF($H2:$H12,"june",U2:U12)</f>
        <v>0</v>
      </c>
      <c r="V48" s="268">
        <f>SUMIF($H2:$H12,"june",V2:V12)</f>
        <v>0</v>
      </c>
      <c r="W48" s="269">
        <f>SUMIF($H2:$H12,"june",W2:W12)</f>
        <v>0</v>
      </c>
      <c r="X48" s="268">
        <f>SUMIF($H2:$H12,"june",X2:X12)</f>
        <v>0</v>
      </c>
      <c r="Y48" s="268">
        <f>SUMIF($H2:$H12,"june",Y2:Y12)</f>
        <v>0</v>
      </c>
      <c r="Z48" s="268">
        <f>SUMIF($H2:$H12,"june",Z2:Z12)</f>
        <v>0</v>
      </c>
      <c r="AA48" s="268">
        <f>SUMIF($H2:$H12,"june",AA2:AA12)</f>
        <v>0</v>
      </c>
      <c r="AB48" s="268">
        <f>SUMIF($H2:$H12,"june",AB2:AB12)</f>
        <v>0</v>
      </c>
      <c r="AC48" s="268">
        <f>SUMIF($H2:$H12,"june",AC2:AC12)</f>
        <v>0</v>
      </c>
      <c r="AD48" s="268">
        <f>SUMIF($H2:$H12,"june",AD2:AD12)</f>
        <v>0</v>
      </c>
      <c r="AE48" s="268">
        <f>SUMIF($H2:$H12,"june",AE2:AE12)</f>
        <v>0</v>
      </c>
      <c r="AF48" s="268">
        <f>SUMIF($H2:$H12,"june",AF2:AF12)</f>
        <v>0</v>
      </c>
      <c r="AG48" s="268">
        <f>SUMIF($H2:$H12,"june",AG2:AG12)</f>
        <v>0</v>
      </c>
      <c r="AH48" s="268">
        <f>SUMIF($H2:$H12,"june",AH2:AH12)</f>
        <v>0</v>
      </c>
      <c r="AI48" s="268">
        <f>SUMIF($H2:$H12,"june",AI2:AI12)</f>
        <v>0</v>
      </c>
      <c r="AJ48" s="268">
        <f>SUMIF($H2:$H12,"june",AJ2:AJ12)</f>
        <v>0</v>
      </c>
      <c r="AK48" s="268">
        <f>SUMIF($H2:$H12,"june",AK2:AK12)</f>
        <v>0</v>
      </c>
      <c r="AL48" s="268">
        <f>SUMIF($H2:$H12,"june",AL2:AL12)</f>
        <v>0</v>
      </c>
      <c r="AM48" s="268">
        <f>SUMIF($H2:$H12,"june",AM2:AM12)</f>
        <v>0</v>
      </c>
    </row>
    <row r="49" spans="1:86" s="179" customFormat="1" ht="15.75" customHeight="1" x14ac:dyDescent="0.2">
      <c r="A49" s="178"/>
      <c r="B49" s="270"/>
      <c r="C49" s="178"/>
      <c r="D49" s="178"/>
      <c r="E49" s="178"/>
      <c r="F49" s="233"/>
      <c r="G49" s="180" t="s">
        <v>173</v>
      </c>
      <c r="H49" s="258">
        <f>SUM(T49:AL49)</f>
        <v>0</v>
      </c>
      <c r="I49" s="259">
        <f t="shared" si="6"/>
        <v>0</v>
      </c>
      <c r="J49" s="259"/>
      <c r="K49" s="259"/>
      <c r="L49" s="189"/>
      <c r="M49" s="189"/>
      <c r="N49" s="189"/>
      <c r="O49" s="189"/>
      <c r="P49" s="189"/>
      <c r="Q49" s="189"/>
      <c r="R49" s="189"/>
      <c r="S49" s="238"/>
      <c r="T49" s="260">
        <f>SUMIF($H2:$H12,"july",T2:T12)</f>
        <v>0</v>
      </c>
      <c r="U49" s="260">
        <f>SUMIF($H2:$H12,"july",U2:U12)</f>
        <v>0</v>
      </c>
      <c r="V49" s="260">
        <f>SUMIF($H2:$H12,"july",V2:V12)</f>
        <v>0</v>
      </c>
      <c r="W49" s="261">
        <f>SUMIF($H2:$H12,"july",W2:W12)</f>
        <v>0</v>
      </c>
      <c r="X49" s="260">
        <f>SUMIF($H2:$H12,"july",X2:X12)</f>
        <v>0</v>
      </c>
      <c r="Y49" s="260">
        <f>SUMIF($H2:$H12,"july",Y2:Y12)</f>
        <v>0</v>
      </c>
      <c r="Z49" s="260">
        <f>SUMIF($H2:$H12,"july",Z2:Z12)</f>
        <v>0</v>
      </c>
      <c r="AA49" s="260">
        <f>SUMIF($H2:$H12,"july",AA2:AA12)</f>
        <v>0</v>
      </c>
      <c r="AB49" s="260">
        <f>SUMIF($H2:$H12,"july",AB2:AB12)</f>
        <v>0</v>
      </c>
      <c r="AC49" s="260">
        <f>SUMIF($H2:$H12,"july",AC2:AC12)</f>
        <v>0</v>
      </c>
      <c r="AD49" s="260">
        <f>SUMIF($H2:$H12,"july",AD2:AD12)</f>
        <v>0</v>
      </c>
      <c r="AE49" s="260">
        <f>SUMIF($H2:$H12,"july",AE2:AE12)</f>
        <v>0</v>
      </c>
      <c r="AF49" s="260">
        <f>SUMIF($H2:$H12,"july",AF2:AF12)</f>
        <v>0</v>
      </c>
      <c r="AG49" s="260">
        <f>SUMIF($H2:$H12,"july",AG2:AG12)</f>
        <v>0</v>
      </c>
      <c r="AH49" s="260">
        <f>SUMIF($H2:$H12,"july",AH2:AH12)</f>
        <v>0</v>
      </c>
      <c r="AI49" s="260">
        <f>SUMIF($H2:$H12,"july",AI2:AI12)</f>
        <v>0</v>
      </c>
      <c r="AJ49" s="260">
        <f>SUMIF($H2:$H12,"july",AJ2:AJ12)</f>
        <v>0</v>
      </c>
      <c r="AK49" s="260">
        <f>SUMIF($H2:$H12,"july",AK2:AK12)</f>
        <v>0</v>
      </c>
      <c r="AL49" s="260">
        <f>SUMIF($H2:$H12,"july",AL2:AL12)</f>
        <v>0</v>
      </c>
      <c r="AM49" s="260">
        <f>SUMIF($H2:$H12,"july",AM2:AM12)</f>
        <v>0</v>
      </c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8"/>
      <c r="CG49" s="178"/>
      <c r="CH49" s="178"/>
    </row>
    <row r="50" spans="1:86" ht="15.75" customHeight="1" x14ac:dyDescent="0.2">
      <c r="A50" s="148"/>
      <c r="B50" s="204"/>
      <c r="C50" s="148"/>
      <c r="D50" s="148"/>
      <c r="E50" s="148"/>
      <c r="F50" s="222"/>
      <c r="G50" s="223" t="s">
        <v>174</v>
      </c>
      <c r="H50" s="262">
        <f>SUM(T50:AL50)</f>
        <v>0</v>
      </c>
      <c r="I50" s="263">
        <f>H50/24</f>
        <v>0</v>
      </c>
      <c r="J50" s="263"/>
      <c r="K50" s="263"/>
      <c r="L50" s="158"/>
      <c r="M50" s="158"/>
      <c r="N50" s="158"/>
      <c r="O50" s="158"/>
      <c r="P50" s="158"/>
      <c r="Q50" s="158"/>
      <c r="R50" s="158"/>
      <c r="S50" s="240"/>
      <c r="T50" s="264">
        <f>SUMIF($H3:$H12,"august",T3:T12)</f>
        <v>0</v>
      </c>
      <c r="U50" s="264">
        <f>SUMIF($H3:$H12,"august",U3:U12)</f>
        <v>0</v>
      </c>
      <c r="V50" s="264">
        <f>SUMIF($H3:$H12,"august",V3:V12)</f>
        <v>0</v>
      </c>
      <c r="W50" s="265">
        <f>SUMIF($H3:$H12,"august",W3:W12)</f>
        <v>0</v>
      </c>
      <c r="X50" s="264">
        <f>SUMIF($H3:$H12,"august",X3:X12)</f>
        <v>0</v>
      </c>
      <c r="Y50" s="264">
        <f>SUMIF($H3:$H12,"august",Y3:Y12)</f>
        <v>0</v>
      </c>
      <c r="Z50" s="264">
        <f>SUMIF($H3:$H12,"august",Z3:Z12)</f>
        <v>0</v>
      </c>
      <c r="AA50" s="264">
        <f>SUMIF($H3:$H12,"august",AA3:AA12)</f>
        <v>0</v>
      </c>
      <c r="AB50" s="264">
        <f>SUMIF($H3:$H12,"august",AB3:AB12)</f>
        <v>0</v>
      </c>
      <c r="AC50" s="264">
        <f>SUMIF($H3:$H12,"august",AC3:AC12)</f>
        <v>0</v>
      </c>
      <c r="AD50" s="264">
        <f>SUMIF($H3:$H12,"august",AD3:AD12)</f>
        <v>0</v>
      </c>
      <c r="AE50" s="264">
        <f>SUMIF($H3:$H12,"august",AE3:AE12)</f>
        <v>0</v>
      </c>
      <c r="AF50" s="264">
        <f>SUMIF($H3:$H12,"august",AF3:AF12)</f>
        <v>0</v>
      </c>
      <c r="AG50" s="264">
        <f>SUMIF($H3:$H12,"august",AG3:AG12)</f>
        <v>0</v>
      </c>
      <c r="AH50" s="264">
        <f>SUMIF($H3:$H12,"august",AH3:AH12)</f>
        <v>0</v>
      </c>
      <c r="AI50" s="264">
        <f>SUMIF($H3:$H12,"august",AI3:AI12)</f>
        <v>0</v>
      </c>
      <c r="AJ50" s="264">
        <f>SUMIF($H3:$H12,"august",AJ3:AJ12)</f>
        <v>0</v>
      </c>
      <c r="AK50" s="264">
        <f>SUMIF($H3:$H12,"august",AK3:AK12)</f>
        <v>0</v>
      </c>
      <c r="AL50" s="264">
        <f>SUMIF($H3:$H12,"august",AL3:AL12)</f>
        <v>0</v>
      </c>
      <c r="AM50" s="264">
        <f>SUMIF($H3:$H12,"august",AM3:AM12)</f>
        <v>0</v>
      </c>
    </row>
    <row r="51" spans="1:86" ht="15.75" customHeight="1" thickBot="1" x14ac:dyDescent="0.25">
      <c r="A51" s="148"/>
      <c r="B51" s="204"/>
      <c r="C51" s="148"/>
      <c r="D51" s="148"/>
      <c r="E51" s="148"/>
      <c r="F51" s="229"/>
      <c r="G51" s="183" t="s">
        <v>175</v>
      </c>
      <c r="H51" s="266">
        <f>SUM(T51:AL51)</f>
        <v>0</v>
      </c>
      <c r="I51" s="267">
        <f t="shared" ref="I51" si="7">H51/24</f>
        <v>0</v>
      </c>
      <c r="J51" s="267"/>
      <c r="K51" s="267"/>
      <c r="L51" s="175"/>
      <c r="M51" s="175"/>
      <c r="N51" s="175"/>
      <c r="O51" s="175"/>
      <c r="P51" s="175"/>
      <c r="Q51" s="175"/>
      <c r="R51" s="175"/>
      <c r="S51" s="241"/>
      <c r="T51" s="268">
        <f>SUMIF($H4:$H12,"september",T4:T12)</f>
        <v>0</v>
      </c>
      <c r="U51" s="268">
        <f>SUMIF($H4:$H12,"september",U4:U12)</f>
        <v>0</v>
      </c>
      <c r="V51" s="268">
        <f>SUMIF($H4:$H12,"september",V4:V12)</f>
        <v>0</v>
      </c>
      <c r="W51" s="269">
        <f>SUMIF($H4:$H12,"september",W4:W12)</f>
        <v>0</v>
      </c>
      <c r="X51" s="268">
        <f>SUMIF($H4:$H12,"september",X4:X12)</f>
        <v>0</v>
      </c>
      <c r="Y51" s="268">
        <f>SUMIF($H4:$H12,"september",Y4:Y12)</f>
        <v>0</v>
      </c>
      <c r="Z51" s="268">
        <f>SUMIF($H4:$H12,"september",Z4:Z12)</f>
        <v>0</v>
      </c>
      <c r="AA51" s="268">
        <f>SUMIF($H4:$H12,"september",AA4:AA12)</f>
        <v>0</v>
      </c>
      <c r="AB51" s="268">
        <f>SUMIF($H4:$H12,"september",AB4:AB12)</f>
        <v>0</v>
      </c>
      <c r="AC51" s="268">
        <f>SUMIF($H4:$H12,"september",AC4:AC12)</f>
        <v>0</v>
      </c>
      <c r="AD51" s="268">
        <f>SUMIF($H4:$H12,"september",AD4:AD12)</f>
        <v>0</v>
      </c>
      <c r="AE51" s="268">
        <f>SUMIF($H4:$H12,"september",AE4:AE12)</f>
        <v>0</v>
      </c>
      <c r="AF51" s="268">
        <f>SUMIF($H4:$H12,"september",AF4:AF12)</f>
        <v>0</v>
      </c>
      <c r="AG51" s="268">
        <f>SUMIF($H4:$H12,"september",AG4:AG12)</f>
        <v>0</v>
      </c>
      <c r="AH51" s="268">
        <f>SUMIF($H4:$H12,"september",AH4:AH12)</f>
        <v>0</v>
      </c>
      <c r="AI51" s="268">
        <f>SUMIF($H4:$H12,"september",AI4:AI12)</f>
        <v>0</v>
      </c>
      <c r="AJ51" s="268">
        <f>SUMIF($H4:$H12,"september",AJ4:AJ12)</f>
        <v>0</v>
      </c>
      <c r="AK51" s="268">
        <f>SUMIF($H4:$H12,"september",AK4:AK12)</f>
        <v>0</v>
      </c>
      <c r="AL51" s="268">
        <f>SUMIF($H4:$H12,"september",AL4:AL12)</f>
        <v>0</v>
      </c>
      <c r="AM51" s="268">
        <f>SUMIF($H4:$H12,"september",AM4:AM12)</f>
        <v>0</v>
      </c>
    </row>
    <row r="52" spans="1:86" s="179" customFormat="1" ht="15.75" customHeight="1" thickBot="1" x14ac:dyDescent="0.25">
      <c r="A52" s="178"/>
      <c r="B52" s="270"/>
      <c r="C52" s="178"/>
      <c r="D52" s="178"/>
      <c r="E52" s="178"/>
      <c r="F52" s="233"/>
      <c r="G52" s="180" t="s">
        <v>176</v>
      </c>
      <c r="H52" s="258">
        <f>SUM(T52:AL52)</f>
        <v>0</v>
      </c>
      <c r="I52" s="259">
        <f>H52/23</f>
        <v>0</v>
      </c>
      <c r="J52" s="259"/>
      <c r="K52" s="259"/>
      <c r="L52" s="189"/>
      <c r="M52" s="189"/>
      <c r="N52" s="189"/>
      <c r="O52" s="189"/>
      <c r="P52" s="189"/>
      <c r="Q52" s="189"/>
      <c r="R52" s="189"/>
      <c r="S52" s="238"/>
      <c r="T52" s="260">
        <f>SUMIF($H5:$H12,"october",T5:T12)</f>
        <v>0</v>
      </c>
      <c r="U52" s="260">
        <f>SUMIF($H5:$H12,"october",U5:U12)</f>
        <v>0</v>
      </c>
      <c r="V52" s="260">
        <f>SUMIF($H5:$H12,"october",V5:V12)</f>
        <v>0</v>
      </c>
      <c r="W52" s="261">
        <f>SUMIF($H5:$H12,"october",W5:W12)</f>
        <v>0</v>
      </c>
      <c r="X52" s="260">
        <f>SUMIF($H5:$H12,"october",X5:X12)</f>
        <v>0</v>
      </c>
      <c r="Y52" s="260">
        <f>SUMIF($H5:$H12,"october",Y5:Y12)</f>
        <v>0</v>
      </c>
      <c r="Z52" s="260">
        <f>SUMIF($H5:$H12,"october",Z5:Z12)</f>
        <v>0</v>
      </c>
      <c r="AA52" s="260">
        <f>SUMIF($H5:$H12,"october",AA5:AA12)</f>
        <v>0</v>
      </c>
      <c r="AB52" s="260">
        <f>SUMIF($H5:$H12,"october",AB5:AB12)</f>
        <v>0</v>
      </c>
      <c r="AC52" s="260">
        <f>SUMIF($H5:$H12,"october",AC5:AC12)</f>
        <v>0</v>
      </c>
      <c r="AD52" s="260">
        <f>SUMIF($H5:$H12,"october",AD5:AD12)</f>
        <v>0</v>
      </c>
      <c r="AE52" s="260">
        <f>SUMIF($H5:$H12,"october",AE5:AE12)</f>
        <v>0</v>
      </c>
      <c r="AF52" s="260">
        <f>SUMIF($H5:$H12,"october",AF5:AF12)</f>
        <v>0</v>
      </c>
      <c r="AG52" s="260">
        <f>SUMIF($H5:$H12,"october",AG5:AG12)</f>
        <v>0</v>
      </c>
      <c r="AH52" s="260">
        <f>SUMIF($H5:$H12,"october",AH5:AH12)</f>
        <v>0</v>
      </c>
      <c r="AI52" s="260">
        <f>SUMIF($H5:$H12,"october",AI5:AI12)</f>
        <v>0</v>
      </c>
      <c r="AJ52" s="260">
        <f>SUMIF($H5:$H12,"october",AJ5:AJ12)</f>
        <v>0</v>
      </c>
      <c r="AK52" s="260">
        <f>SUMIF($H5:$H12,"october",AK5:AK12)</f>
        <v>0</v>
      </c>
      <c r="AL52" s="260">
        <f>SUMIF($H5:$H12,"october",AL5:AL12)</f>
        <v>0</v>
      </c>
      <c r="AM52" s="260">
        <f>SUMIF($H5:$H12,"october",AM5:AM12)</f>
        <v>0</v>
      </c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  <c r="BC52" s="178"/>
      <c r="BD52" s="178"/>
      <c r="BE52" s="178"/>
      <c r="BF52" s="178"/>
      <c r="BG52" s="178"/>
      <c r="BH52" s="178"/>
      <c r="BI52" s="178"/>
      <c r="BJ52" s="178"/>
      <c r="BK52" s="178"/>
      <c r="BL52" s="178"/>
      <c r="BM52" s="178"/>
      <c r="BN52" s="178"/>
      <c r="BO52" s="178"/>
      <c r="BP52" s="178"/>
      <c r="BQ52" s="178"/>
      <c r="BR52" s="178"/>
      <c r="BS52" s="178"/>
      <c r="BT52" s="178"/>
      <c r="BU52" s="178"/>
      <c r="BV52" s="178"/>
      <c r="BW52" s="178"/>
      <c r="BX52" s="178"/>
      <c r="BY52" s="178"/>
      <c r="BZ52" s="178"/>
      <c r="CA52" s="178"/>
      <c r="CB52" s="178"/>
      <c r="CC52" s="178"/>
      <c r="CD52" s="178"/>
      <c r="CE52" s="178"/>
      <c r="CF52" s="178"/>
      <c r="CG52" s="178"/>
      <c r="CH52" s="178"/>
    </row>
    <row r="53" spans="1:86" ht="15.75" customHeight="1" thickBot="1" x14ac:dyDescent="0.25">
      <c r="A53" s="148"/>
      <c r="B53" s="204"/>
      <c r="C53" s="148"/>
      <c r="D53" s="148"/>
      <c r="E53" s="148"/>
      <c r="F53" s="222"/>
      <c r="G53" s="223" t="s">
        <v>177</v>
      </c>
      <c r="H53" s="258">
        <f>SUM(T53:AL53)</f>
        <v>0</v>
      </c>
      <c r="I53" s="259">
        <f t="shared" ref="I53:I55" si="8">H53/23</f>
        <v>0</v>
      </c>
      <c r="J53" s="263"/>
      <c r="K53" s="263"/>
      <c r="L53" s="158"/>
      <c r="M53" s="158"/>
      <c r="N53" s="158"/>
      <c r="O53" s="158"/>
      <c r="P53" s="158"/>
      <c r="Q53" s="158"/>
      <c r="R53" s="158"/>
      <c r="S53" s="240"/>
      <c r="T53" s="260">
        <f>SUMIF($H6:$H13,"november",T2:T13)</f>
        <v>0</v>
      </c>
      <c r="U53" s="260">
        <f>SUMIF($H6:$H13,"november",U2:U13)</f>
        <v>0</v>
      </c>
      <c r="V53" s="260">
        <f>SUMIF($H6:$H13,"november",V2:V13)</f>
        <v>0</v>
      </c>
      <c r="W53" s="260">
        <f>SUMIF($H6:$H13,"november",W2:W13)</f>
        <v>0</v>
      </c>
      <c r="X53" s="260">
        <f>SUMIF($H6:$H13,"november",X2:X13)</f>
        <v>0</v>
      </c>
      <c r="Y53" s="260">
        <f>SUMIF($H6:$H13,"november",Y2:Y13)</f>
        <v>0</v>
      </c>
      <c r="Z53" s="260">
        <f>SUMIF($H6:$H13,"november",Z2:Z13)</f>
        <v>0</v>
      </c>
      <c r="AA53" s="260">
        <f>SUMIF($H6:$H13,"november",AA2:AA13)</f>
        <v>0</v>
      </c>
      <c r="AB53" s="260">
        <f>SUMIF($H6:$H13,"november",AB2:AB13)</f>
        <v>0</v>
      </c>
      <c r="AC53" s="260">
        <f>SUMIF($H6:$H13,"november",AC2:AC13)</f>
        <v>0</v>
      </c>
      <c r="AD53" s="260">
        <f>SUMIF($H6:$H13,"november",AD2:AD13)</f>
        <v>0</v>
      </c>
      <c r="AE53" s="260">
        <f>SUMIF($H6:$H13,"november",AE2:AE13)</f>
        <v>0</v>
      </c>
      <c r="AF53" s="260">
        <f>SUMIF($H6:$H13,"november",AF2:AF13)</f>
        <v>0</v>
      </c>
      <c r="AG53" s="260">
        <f>SUMIF($H6:$H13,"november",AG2:AG13)</f>
        <v>0</v>
      </c>
      <c r="AH53" s="260">
        <f>SUMIF($H6:$H13,"november",AH2:AH13)</f>
        <v>0</v>
      </c>
      <c r="AI53" s="260">
        <f>SUMIF($H6:$H13,"november",AI2:AI13)</f>
        <v>0</v>
      </c>
      <c r="AJ53" s="260">
        <f>SUMIF($H6:$H13,"november",AJ2:AJ13)</f>
        <v>0</v>
      </c>
      <c r="AK53" s="260">
        <f>SUMIF($H6:$H13,"november",AK2:AK13)</f>
        <v>0</v>
      </c>
      <c r="AL53" s="260">
        <f>SUMIF($H6:$H13,"november",AL2:AL13)</f>
        <v>0</v>
      </c>
      <c r="AM53" s="260">
        <f>SUMIF($H6:$H13,"november",AM2:AM13)</f>
        <v>0</v>
      </c>
    </row>
    <row r="54" spans="1:86" ht="15.75" customHeight="1" thickBot="1" x14ac:dyDescent="0.25">
      <c r="A54" s="148"/>
      <c r="B54" s="204"/>
      <c r="C54" s="148"/>
      <c r="D54" s="148"/>
      <c r="E54" s="148"/>
      <c r="F54" s="222"/>
      <c r="G54" s="223" t="s">
        <v>178</v>
      </c>
      <c r="H54" s="258">
        <f>SUM(T54:AL54)</f>
        <v>0</v>
      </c>
      <c r="I54" s="259">
        <f t="shared" si="8"/>
        <v>0</v>
      </c>
      <c r="J54" s="263"/>
      <c r="K54" s="263"/>
      <c r="L54" s="158"/>
      <c r="M54" s="158"/>
      <c r="N54" s="158"/>
      <c r="O54" s="158"/>
      <c r="P54" s="158"/>
      <c r="Q54" s="158"/>
      <c r="R54" s="158"/>
      <c r="S54" s="288"/>
      <c r="T54" s="260">
        <f>SUMIF($H7:$H13,"december",T3:T13)</f>
        <v>0</v>
      </c>
      <c r="U54" s="260">
        <f>SUMIF($H7:$H13,"december",U3:U13)</f>
        <v>0</v>
      </c>
      <c r="V54" s="260">
        <f>SUMIF($H7:$H13,"december",V3:V13)</f>
        <v>0</v>
      </c>
      <c r="W54" s="260">
        <f>SUMIF($H7:$H13,"december",W3:W13)</f>
        <v>0</v>
      </c>
      <c r="X54" s="260">
        <f>SUMIF($H7:$H13,"december",X3:X13)</f>
        <v>0</v>
      </c>
      <c r="Y54" s="260">
        <f>SUMIF($H7:$H13,"december",Y3:Y13)</f>
        <v>0</v>
      </c>
      <c r="Z54" s="260">
        <f>SUMIF($H7:$H13,"december",Z3:Z13)</f>
        <v>0</v>
      </c>
      <c r="AA54" s="260">
        <f>SUMIF($H7:$H13,"december",AA3:AA13)</f>
        <v>0</v>
      </c>
      <c r="AB54" s="260">
        <f>SUMIF($H7:$H13,"december",AB3:AB13)</f>
        <v>0</v>
      </c>
      <c r="AC54" s="260">
        <f>SUMIF($H7:$H13,"december",AC3:AC13)</f>
        <v>0</v>
      </c>
      <c r="AD54" s="260">
        <f>SUMIF($H7:$H13,"december",AD3:AD13)</f>
        <v>0</v>
      </c>
      <c r="AE54" s="260">
        <f>SUMIF($H7:$H13,"december",AE3:AE13)</f>
        <v>0</v>
      </c>
      <c r="AF54" s="260">
        <f>SUMIF($H7:$H13,"december",AF3:AF13)</f>
        <v>0</v>
      </c>
      <c r="AG54" s="260">
        <f>SUMIF($H7:$H13,"december",AG3:AG13)</f>
        <v>0</v>
      </c>
      <c r="AH54" s="260">
        <f>SUMIF($H7:$H13,"december",AH3:AH13)</f>
        <v>0</v>
      </c>
      <c r="AI54" s="260">
        <f>SUMIF($H7:$H13,"december",AI3:AI13)</f>
        <v>0</v>
      </c>
      <c r="AJ54" s="260">
        <f>SUMIF($H7:$H13,"december",AJ3:AJ13)</f>
        <v>0</v>
      </c>
      <c r="AK54" s="260">
        <f>SUMIF($H7:$H13,"december",AK3:AK13)</f>
        <v>0</v>
      </c>
      <c r="AL54" s="260">
        <f>SUMIF($H7:$H13,"december",AL3:AL13)</f>
        <v>0</v>
      </c>
      <c r="AM54" s="260">
        <f>SUMIF($H7:$H13,"december",AM3:AM13)</f>
        <v>0</v>
      </c>
    </row>
    <row r="55" spans="1:86" ht="15.75" customHeight="1" thickBot="1" x14ac:dyDescent="0.25">
      <c r="A55" s="148"/>
      <c r="B55" s="204"/>
      <c r="C55" s="148"/>
      <c r="D55" s="148"/>
      <c r="E55" s="148"/>
      <c r="F55" s="222"/>
      <c r="G55" s="151" t="s">
        <v>179</v>
      </c>
      <c r="H55" s="258">
        <f t="shared" ref="H55" ca="1" si="9">SUM(T55:AL55)</f>
        <v>0</v>
      </c>
      <c r="I55" s="259">
        <f t="shared" ca="1" si="8"/>
        <v>0</v>
      </c>
      <c r="J55" s="263"/>
      <c r="K55" s="263"/>
      <c r="L55" s="158"/>
      <c r="M55" s="158"/>
      <c r="N55" s="158"/>
      <c r="O55" s="158"/>
      <c r="P55" s="158"/>
      <c r="Q55" s="158"/>
      <c r="R55" s="158"/>
      <c r="S55" s="288"/>
      <c r="T55" s="260">
        <f>SUMIF($H8:$H13,"January",T4:T13)</f>
        <v>0</v>
      </c>
      <c r="U55" s="260">
        <f>SUMIF($H8:$H13,"January",U4:U13)</f>
        <v>0</v>
      </c>
      <c r="V55" s="260">
        <f>SUMIF($H8:$H13,"January",V4:V13)</f>
        <v>0</v>
      </c>
      <c r="W55" s="260">
        <f ca="1">SUMIF($H2:$H13,"January",W4:W13)</f>
        <v>0</v>
      </c>
      <c r="X55" s="260">
        <f>SUMIF($H8:$H13,"January",X4:X13)</f>
        <v>0</v>
      </c>
      <c r="Y55" s="260">
        <f>SUMIF($H8:$H13,"January",Y4:Y13)</f>
        <v>0</v>
      </c>
      <c r="Z55" s="260">
        <f>SUMIF($H8:$H13,"January",Z4:Z13)</f>
        <v>0</v>
      </c>
      <c r="AA55" s="260">
        <f>SUMIF($H8:$H13,"January",AA4:AA13)</f>
        <v>0</v>
      </c>
      <c r="AB55" s="260">
        <f>SUMIF($H8:$H13,"January",AB4:AB13)</f>
        <v>0</v>
      </c>
      <c r="AC55" s="260">
        <f>SUMIF($H8:$H13,"January",AC4:AC13)</f>
        <v>0</v>
      </c>
      <c r="AD55" s="260">
        <f>SUMIF($H8:$H13,"January",AD4:AD13)</f>
        <v>0</v>
      </c>
      <c r="AE55" s="260">
        <f>SUMIF($H8:$H13,"January",AE4:AE13)</f>
        <v>0</v>
      </c>
      <c r="AF55" s="260">
        <f>SUMIF($H8:$H13,"January",AF4:AF13)</f>
        <v>0</v>
      </c>
      <c r="AG55" s="260">
        <f>SUMIF($H8:$H13,"January",AG4:AG13)</f>
        <v>0</v>
      </c>
      <c r="AH55" s="260">
        <f>SUMIF($H8:$H13,"January",AH4:AH13)</f>
        <v>0</v>
      </c>
      <c r="AI55" s="260">
        <f>SUMIF($H8:$H13,"January",AI4:AI13)</f>
        <v>0</v>
      </c>
      <c r="AJ55" s="260">
        <f>SUMIF($H8:$H13,"January",AJ4:AJ13)</f>
        <v>0</v>
      </c>
      <c r="AK55" s="260">
        <f>SUMIF($H8:$H13,"January",AK4:AK13)</f>
        <v>0</v>
      </c>
      <c r="AL55" s="260">
        <f>SUMIF($H8:$H13,"January",AL4:AL13)</f>
        <v>0</v>
      </c>
      <c r="AM55" s="260">
        <f>SUMIF($H8:$H13,"January",AM4:AM13)</f>
        <v>0</v>
      </c>
    </row>
    <row r="56" spans="1:86" ht="15.75" customHeight="1" thickBot="1" x14ac:dyDescent="0.25">
      <c r="A56" s="148"/>
      <c r="B56" s="204"/>
      <c r="C56" s="148"/>
      <c r="D56" s="148"/>
      <c r="E56" s="148"/>
      <c r="F56" s="222"/>
      <c r="G56" s="223" t="s">
        <v>180</v>
      </c>
      <c r="H56" s="258">
        <f>SUM(T56:AL56)</f>
        <v>0</v>
      </c>
      <c r="I56" s="259">
        <f>H56/23</f>
        <v>0</v>
      </c>
      <c r="J56" s="263"/>
      <c r="K56" s="263"/>
      <c r="L56" s="158"/>
      <c r="M56" s="158"/>
      <c r="N56" s="158"/>
      <c r="O56" s="158"/>
      <c r="P56" s="158"/>
      <c r="Q56" s="158"/>
      <c r="R56" s="158"/>
      <c r="S56" s="240"/>
      <c r="T56" s="264"/>
      <c r="U56" s="264"/>
      <c r="V56" s="264"/>
      <c r="W56" s="265"/>
      <c r="X56" s="264"/>
      <c r="Y56" s="264"/>
      <c r="Z56" s="264"/>
      <c r="AA56" s="264"/>
      <c r="AB56" s="264"/>
      <c r="AC56" s="264"/>
      <c r="AD56" s="264"/>
      <c r="AE56" s="264"/>
      <c r="AF56" s="264"/>
      <c r="AG56" s="160"/>
      <c r="AH56" s="160"/>
      <c r="AI56" s="160"/>
      <c r="AJ56" s="160"/>
      <c r="AK56" s="160"/>
      <c r="AL56" s="160"/>
      <c r="AM56" s="160"/>
    </row>
    <row r="57" spans="1:86" ht="15.75" customHeight="1" thickBot="1" x14ac:dyDescent="0.25">
      <c r="A57" s="148"/>
      <c r="B57" s="204"/>
      <c r="C57" s="148"/>
      <c r="D57" s="148"/>
      <c r="E57" s="148"/>
      <c r="F57" s="229"/>
      <c r="G57" s="183" t="s">
        <v>181</v>
      </c>
      <c r="H57" s="258">
        <f>SUM(T57:AL57)</f>
        <v>0</v>
      </c>
      <c r="I57" s="259">
        <f>H57/23</f>
        <v>0</v>
      </c>
      <c r="J57" s="267"/>
      <c r="K57" s="267"/>
      <c r="L57" s="175"/>
      <c r="M57" s="175"/>
      <c r="N57" s="175"/>
      <c r="O57" s="175"/>
      <c r="P57" s="175"/>
      <c r="Q57" s="175"/>
      <c r="R57" s="175"/>
      <c r="S57" s="241"/>
      <c r="T57" s="268"/>
      <c r="U57" s="268"/>
      <c r="V57" s="268"/>
      <c r="W57" s="269"/>
      <c r="X57" s="268"/>
      <c r="Y57" s="268"/>
      <c r="Z57" s="268"/>
      <c r="AA57" s="268"/>
      <c r="AB57" s="268"/>
      <c r="AC57" s="268"/>
      <c r="AD57" s="268"/>
      <c r="AE57" s="268"/>
      <c r="AF57" s="268"/>
      <c r="AG57" s="268"/>
      <c r="AH57" s="268"/>
      <c r="AI57" s="186"/>
      <c r="AJ57" s="186"/>
      <c r="AK57" s="186"/>
      <c r="AL57" s="186"/>
      <c r="AM57" s="186"/>
    </row>
    <row r="58" spans="1:86" s="252" customFormat="1" x14ac:dyDescent="0.2">
      <c r="B58" s="289"/>
      <c r="F58" s="290"/>
      <c r="G58" s="180" t="s">
        <v>96</v>
      </c>
      <c r="H58" s="248">
        <f ca="1">SUM(H46:H57)</f>
        <v>148500</v>
      </c>
      <c r="I58" s="291">
        <f ca="1">SUM(I46:I57)</f>
        <v>6187.5</v>
      </c>
      <c r="J58" s="291"/>
      <c r="K58" s="291"/>
      <c r="L58" s="292"/>
      <c r="M58" s="290"/>
      <c r="N58" s="290"/>
      <c r="O58" s="290"/>
      <c r="P58" s="290"/>
      <c r="Q58" s="290"/>
      <c r="R58" s="290"/>
      <c r="S58" s="282"/>
      <c r="W58" s="283"/>
      <c r="AM58" s="253"/>
      <c r="AN58" s="253"/>
      <c r="AO58" s="253"/>
      <c r="AP58" s="253"/>
      <c r="AQ58" s="253"/>
      <c r="AR58" s="253"/>
      <c r="AS58" s="253"/>
      <c r="AT58" s="253"/>
      <c r="AU58" s="253"/>
      <c r="AV58" s="253"/>
      <c r="AW58" s="253"/>
      <c r="AX58" s="253"/>
      <c r="AY58" s="253"/>
      <c r="AZ58" s="253"/>
      <c r="BA58" s="253"/>
      <c r="BB58" s="253"/>
      <c r="BC58" s="253"/>
      <c r="BD58" s="253"/>
      <c r="BE58" s="253"/>
      <c r="BF58" s="253"/>
      <c r="BG58" s="253"/>
      <c r="BH58" s="253"/>
      <c r="BI58" s="253"/>
      <c r="BJ58" s="253"/>
      <c r="BK58" s="253"/>
      <c r="BL58" s="253"/>
      <c r="BM58" s="253"/>
      <c r="BN58" s="253"/>
      <c r="BO58" s="253"/>
      <c r="BP58" s="253"/>
      <c r="BQ58" s="253"/>
      <c r="BR58" s="253"/>
      <c r="BS58" s="253"/>
      <c r="BT58" s="253"/>
      <c r="BU58" s="253"/>
      <c r="BV58" s="253"/>
      <c r="BW58" s="253"/>
      <c r="BX58" s="253"/>
      <c r="BY58" s="253"/>
      <c r="BZ58" s="253"/>
      <c r="CA58" s="253"/>
      <c r="CB58" s="253"/>
      <c r="CC58" s="253"/>
      <c r="CD58" s="253"/>
      <c r="CE58" s="253"/>
      <c r="CF58" s="253"/>
      <c r="CG58" s="253"/>
      <c r="CH58" s="253"/>
    </row>
  </sheetData>
  <mergeCells count="1">
    <mergeCell ref="A27:A29"/>
  </mergeCells>
  <conditionalFormatting sqref="L1">
    <cfRule type="notContainsBlanks" dxfId="0" priority="1">
      <formula>LEN(TRIM(L1))&gt;0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DDB0-31E9-A740-90A3-85230EFD63E4}">
  <dimension ref="A1:DH97"/>
  <sheetViews>
    <sheetView zoomScale="110" zoomScaleNormal="110" workbookViewId="0">
      <pane ySplit="1" topLeftCell="A43" activePane="bottomLeft" state="frozen"/>
      <selection pane="bottomLeft" activeCell="K87" sqref="K87"/>
    </sheetView>
  </sheetViews>
  <sheetFormatPr baseColWidth="10" defaultColWidth="10.83203125" defaultRowHeight="14" x14ac:dyDescent="0.2"/>
  <cols>
    <col min="1" max="1" width="11" style="1" customWidth="1"/>
    <col min="2" max="2" width="13.33203125" style="1" bestFit="1" customWidth="1"/>
    <col min="3" max="4" width="12.33203125" style="1" bestFit="1" customWidth="1"/>
    <col min="5" max="5" width="12.33203125" style="90" bestFit="1" customWidth="1"/>
    <col min="6" max="6" width="13.6640625" style="1" customWidth="1"/>
    <col min="7" max="7" width="20" style="1" bestFit="1" customWidth="1"/>
    <col min="8" max="8" width="13.5" style="1" customWidth="1"/>
    <col min="9" max="9" width="17.6640625" style="1" bestFit="1" customWidth="1"/>
    <col min="10" max="10" width="14.1640625" style="1" customWidth="1"/>
    <col min="11" max="11" width="19.33203125" style="1" bestFit="1" customWidth="1"/>
    <col min="12" max="13" width="13.1640625" style="1" customWidth="1"/>
    <col min="14" max="14" width="11.5" style="49" customWidth="1"/>
    <col min="15" max="15" width="16.83203125" style="88" customWidth="1"/>
    <col min="16" max="16" width="16.83203125" style="1" customWidth="1"/>
    <col min="17" max="19" width="16.83203125" style="49" customWidth="1"/>
    <col min="20" max="21" width="16.83203125" style="89" customWidth="1"/>
    <col min="22" max="22" width="15.6640625" style="90" customWidth="1"/>
    <col min="23" max="23" width="9" style="354" customWidth="1" collapsed="1"/>
    <col min="24" max="28" width="11" style="90" bestFit="1" customWidth="1"/>
    <col min="29" max="30" width="11" style="90" customWidth="1"/>
    <col min="31" max="31" width="11" style="90" bestFit="1" customWidth="1"/>
    <col min="32" max="32" width="9" style="354" customWidth="1" collapsed="1"/>
    <col min="33" max="37" width="11" style="90" bestFit="1" customWidth="1"/>
    <col min="38" max="39" width="11" style="90" customWidth="1"/>
    <col min="40" max="40" width="11" style="90" bestFit="1" customWidth="1"/>
    <col min="41" max="41" width="9" style="354" customWidth="1" collapsed="1"/>
    <col min="42" max="46" width="11" style="90" bestFit="1" customWidth="1"/>
    <col min="47" max="48" width="11" style="90" customWidth="1"/>
    <col min="49" max="49" width="11" style="90" bestFit="1" customWidth="1"/>
    <col min="50" max="107" width="10.83203125" style="343"/>
    <col min="108" max="16384" width="10.83203125" style="1"/>
  </cols>
  <sheetData>
    <row r="1" spans="1:107" s="346" customFormat="1" ht="30" x14ac:dyDescent="0.2">
      <c r="A1" s="358" t="s">
        <v>0</v>
      </c>
      <c r="B1" s="358"/>
      <c r="C1" s="358" t="s">
        <v>1</v>
      </c>
      <c r="D1" s="358" t="s">
        <v>2</v>
      </c>
      <c r="E1" s="359" t="s">
        <v>3</v>
      </c>
      <c r="F1" s="358" t="s">
        <v>4</v>
      </c>
      <c r="G1" s="358" t="s">
        <v>5</v>
      </c>
      <c r="H1" s="358" t="s">
        <v>6</v>
      </c>
      <c r="I1" s="358" t="s">
        <v>7</v>
      </c>
      <c r="J1" s="358" t="s">
        <v>8</v>
      </c>
      <c r="K1" s="358" t="s">
        <v>9</v>
      </c>
      <c r="L1" s="358" t="s">
        <v>10</v>
      </c>
      <c r="M1" s="358" t="s">
        <v>11</v>
      </c>
      <c r="N1" s="358" t="s">
        <v>12</v>
      </c>
      <c r="O1" s="360" t="s">
        <v>17</v>
      </c>
      <c r="P1" s="358" t="s">
        <v>16</v>
      </c>
      <c r="Q1" s="358" t="s">
        <v>13</v>
      </c>
      <c r="R1" s="358" t="s">
        <v>14</v>
      </c>
      <c r="S1" s="358" t="s">
        <v>15</v>
      </c>
      <c r="T1" s="361" t="s">
        <v>18</v>
      </c>
      <c r="U1" s="361" t="s">
        <v>19</v>
      </c>
      <c r="V1" s="361" t="s">
        <v>20</v>
      </c>
      <c r="W1" s="347" t="s">
        <v>126</v>
      </c>
      <c r="X1" s="361" t="s">
        <v>21</v>
      </c>
      <c r="Y1" s="361" t="s">
        <v>22</v>
      </c>
      <c r="Z1" s="361" t="s">
        <v>23</v>
      </c>
      <c r="AA1" s="361" t="s">
        <v>24</v>
      </c>
      <c r="AB1" s="361" t="s">
        <v>127</v>
      </c>
      <c r="AC1" s="361" t="s">
        <v>122</v>
      </c>
      <c r="AD1" s="361" t="s">
        <v>225</v>
      </c>
      <c r="AE1" s="361" t="s">
        <v>226</v>
      </c>
      <c r="AF1" s="347" t="s">
        <v>131</v>
      </c>
      <c r="AG1" s="361" t="s">
        <v>21</v>
      </c>
      <c r="AH1" s="361" t="s">
        <v>22</v>
      </c>
      <c r="AI1" s="361" t="s">
        <v>23</v>
      </c>
      <c r="AJ1" s="361" t="s">
        <v>24</v>
      </c>
      <c r="AK1" s="361" t="s">
        <v>127</v>
      </c>
      <c r="AL1" s="361" t="s">
        <v>122</v>
      </c>
      <c r="AM1" s="361" t="s">
        <v>225</v>
      </c>
      <c r="AN1" s="361" t="s">
        <v>226</v>
      </c>
      <c r="AO1" s="347" t="s">
        <v>132</v>
      </c>
      <c r="AP1" s="361" t="s">
        <v>21</v>
      </c>
      <c r="AQ1" s="361" t="s">
        <v>22</v>
      </c>
      <c r="AR1" s="361" t="s">
        <v>23</v>
      </c>
      <c r="AS1" s="361" t="s">
        <v>24</v>
      </c>
      <c r="AT1" s="361" t="s">
        <v>127</v>
      </c>
      <c r="AU1" s="361" t="s">
        <v>122</v>
      </c>
      <c r="AV1" s="361" t="s">
        <v>225</v>
      </c>
      <c r="AW1" s="361" t="s">
        <v>226</v>
      </c>
    </row>
    <row r="2" spans="1:107" s="2" customFormat="1" x14ac:dyDescent="0.2">
      <c r="A2" s="3" t="s">
        <v>79</v>
      </c>
      <c r="B2" s="4" t="s">
        <v>224</v>
      </c>
      <c r="C2" s="5" t="s">
        <v>32</v>
      </c>
      <c r="D2" s="91" t="s">
        <v>33</v>
      </c>
      <c r="E2" s="6">
        <v>96000</v>
      </c>
      <c r="F2" s="7">
        <v>12</v>
      </c>
      <c r="G2" s="31" t="s">
        <v>34</v>
      </c>
      <c r="H2" s="4" t="s">
        <v>28</v>
      </c>
      <c r="I2" s="4" t="s">
        <v>35</v>
      </c>
      <c r="J2" s="92" t="s">
        <v>36</v>
      </c>
      <c r="K2" s="92" t="s">
        <v>37</v>
      </c>
      <c r="L2" s="92" t="s">
        <v>22</v>
      </c>
      <c r="M2" s="92" t="s">
        <v>23</v>
      </c>
      <c r="N2" s="9">
        <v>45747</v>
      </c>
      <c r="O2" s="94">
        <v>46111</v>
      </c>
      <c r="P2" s="4" t="s">
        <v>31</v>
      </c>
      <c r="Q2" s="20">
        <v>570</v>
      </c>
      <c r="R2" s="20">
        <v>100</v>
      </c>
      <c r="S2" s="93">
        <f>R2/Q2</f>
        <v>0.17543859649122806</v>
      </c>
      <c r="T2" s="20">
        <f>SUM(U2/5)</f>
        <v>710</v>
      </c>
      <c r="U2" s="20">
        <f>SUM(V2/4.5)</f>
        <v>3550</v>
      </c>
      <c r="V2" s="11">
        <v>15975</v>
      </c>
      <c r="W2" s="348"/>
      <c r="X2" s="342"/>
      <c r="Y2" s="342">
        <v>8000</v>
      </c>
      <c r="Z2" s="342">
        <v>8000</v>
      </c>
      <c r="AA2" s="342"/>
      <c r="AB2" s="342"/>
      <c r="AC2" s="342"/>
      <c r="AD2" s="342"/>
      <c r="AE2" s="342"/>
      <c r="AF2" s="348"/>
      <c r="AG2" s="342"/>
      <c r="AH2" s="342">
        <v>8000</v>
      </c>
      <c r="AI2" s="342">
        <v>8000</v>
      </c>
      <c r="AJ2" s="342"/>
      <c r="AK2" s="342"/>
      <c r="AL2" s="342"/>
      <c r="AM2" s="342"/>
      <c r="AN2" s="342"/>
      <c r="AO2" s="348"/>
      <c r="AP2" s="342"/>
      <c r="AQ2" s="342">
        <v>8000</v>
      </c>
      <c r="AR2" s="342">
        <v>8000</v>
      </c>
      <c r="AS2" s="342"/>
      <c r="AT2" s="342"/>
      <c r="AU2" s="342"/>
      <c r="AV2" s="342"/>
      <c r="AW2" s="342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  <c r="CL2" s="343"/>
      <c r="CM2" s="343"/>
      <c r="CN2" s="343"/>
      <c r="CO2" s="343"/>
      <c r="CP2" s="343"/>
      <c r="CQ2" s="343"/>
      <c r="CR2" s="343"/>
      <c r="CS2" s="343"/>
      <c r="CT2" s="343"/>
      <c r="CU2" s="343"/>
      <c r="CV2" s="343"/>
      <c r="CW2" s="343"/>
      <c r="CX2" s="343"/>
      <c r="CY2" s="343"/>
      <c r="CZ2" s="343"/>
      <c r="DA2" s="343"/>
      <c r="DB2" s="343"/>
      <c r="DC2" s="343"/>
    </row>
    <row r="3" spans="1:107" s="2" customFormat="1" x14ac:dyDescent="0.2">
      <c r="A3" s="3" t="s">
        <v>79</v>
      </c>
      <c r="B3" s="4" t="s">
        <v>224</v>
      </c>
      <c r="C3" s="5" t="s">
        <v>32</v>
      </c>
      <c r="D3" s="91" t="s">
        <v>38</v>
      </c>
      <c r="E3" s="6">
        <v>172800</v>
      </c>
      <c r="F3" s="7">
        <v>15</v>
      </c>
      <c r="G3" s="4" t="s">
        <v>39</v>
      </c>
      <c r="H3" s="4" t="s">
        <v>28</v>
      </c>
      <c r="I3" s="95" t="s">
        <v>40</v>
      </c>
      <c r="J3" s="92"/>
      <c r="K3" s="92" t="s">
        <v>41</v>
      </c>
      <c r="L3" s="92" t="s">
        <v>22</v>
      </c>
      <c r="M3" s="92" t="s">
        <v>23</v>
      </c>
      <c r="N3" s="9">
        <v>45807</v>
      </c>
      <c r="O3" s="9">
        <v>46156</v>
      </c>
      <c r="P3" s="4" t="s">
        <v>31</v>
      </c>
      <c r="Q3" s="21">
        <v>360</v>
      </c>
      <c r="R3" s="20">
        <v>90</v>
      </c>
      <c r="S3" s="96">
        <v>0.2</v>
      </c>
      <c r="T3" s="20">
        <f>SUM(U3/5)</f>
        <v>721</v>
      </c>
      <c r="U3" s="20">
        <f>SUM(V3/4,5)</f>
        <v>3605</v>
      </c>
      <c r="V3" s="11">
        <v>14400</v>
      </c>
      <c r="W3" s="348"/>
      <c r="X3" s="342"/>
      <c r="Y3" s="342">
        <v>7200</v>
      </c>
      <c r="Z3" s="342">
        <v>7200</v>
      </c>
      <c r="AA3" s="342"/>
      <c r="AB3" s="342"/>
      <c r="AC3" s="342"/>
      <c r="AD3" s="342"/>
      <c r="AE3" s="342"/>
      <c r="AF3" s="348"/>
      <c r="AG3" s="342"/>
      <c r="AH3" s="342">
        <v>7200</v>
      </c>
      <c r="AI3" s="342">
        <v>7200</v>
      </c>
      <c r="AJ3" s="342"/>
      <c r="AK3" s="342"/>
      <c r="AL3" s="342"/>
      <c r="AM3" s="342"/>
      <c r="AN3" s="342"/>
      <c r="AO3" s="348"/>
      <c r="AP3" s="342"/>
      <c r="AQ3" s="342">
        <v>7200</v>
      </c>
      <c r="AR3" s="342">
        <v>7200</v>
      </c>
      <c r="AS3" s="342"/>
      <c r="AT3" s="342"/>
      <c r="AU3" s="342"/>
      <c r="AV3" s="342"/>
      <c r="AW3" s="342"/>
      <c r="AX3" s="343"/>
      <c r="AY3" s="343"/>
      <c r="AZ3" s="343"/>
      <c r="BA3" s="343"/>
      <c r="BB3" s="343"/>
      <c r="BC3" s="343"/>
      <c r="BD3" s="343"/>
      <c r="BE3" s="343"/>
      <c r="BF3" s="343"/>
      <c r="BG3" s="343"/>
      <c r="BH3" s="343"/>
      <c r="BI3" s="343"/>
      <c r="BJ3" s="343"/>
      <c r="BK3" s="343"/>
      <c r="BL3" s="343"/>
      <c r="BM3" s="343"/>
      <c r="BN3" s="343"/>
      <c r="BO3" s="343"/>
      <c r="BP3" s="343"/>
      <c r="BQ3" s="343"/>
      <c r="BR3" s="343"/>
      <c r="BS3" s="343"/>
      <c r="BT3" s="343"/>
      <c r="BU3" s="343"/>
      <c r="BV3" s="343"/>
      <c r="BW3" s="343"/>
      <c r="BX3" s="343"/>
      <c r="BY3" s="343"/>
      <c r="BZ3" s="343"/>
      <c r="CA3" s="343"/>
      <c r="CB3" s="343"/>
      <c r="CC3" s="343"/>
      <c r="CD3" s="343"/>
      <c r="CE3" s="343"/>
      <c r="CF3" s="343"/>
      <c r="CG3" s="343"/>
      <c r="CH3" s="343"/>
      <c r="CI3" s="343"/>
      <c r="CJ3" s="343"/>
      <c r="CK3" s="343"/>
      <c r="CL3" s="343"/>
      <c r="CM3" s="343"/>
      <c r="CN3" s="343"/>
      <c r="CO3" s="343"/>
      <c r="CP3" s="343"/>
      <c r="CQ3" s="343"/>
      <c r="CR3" s="343"/>
      <c r="CS3" s="343"/>
      <c r="CT3" s="343"/>
      <c r="CU3" s="343"/>
      <c r="CV3" s="343"/>
      <c r="CW3" s="343"/>
      <c r="CX3" s="343"/>
      <c r="CY3" s="343"/>
      <c r="CZ3" s="343"/>
      <c r="DA3" s="343"/>
      <c r="DB3" s="343"/>
      <c r="DC3" s="343"/>
    </row>
    <row r="4" spans="1:107" s="2" customFormat="1" x14ac:dyDescent="0.2">
      <c r="A4" s="3" t="s">
        <v>79</v>
      </c>
      <c r="B4" s="4" t="s">
        <v>224</v>
      </c>
      <c r="C4" s="5" t="s">
        <v>32</v>
      </c>
      <c r="D4" s="4" t="s">
        <v>38</v>
      </c>
      <c r="E4" s="6">
        <v>192000</v>
      </c>
      <c r="F4" s="97">
        <v>20</v>
      </c>
      <c r="G4" s="4" t="s">
        <v>44</v>
      </c>
      <c r="H4" s="4" t="s">
        <v>28</v>
      </c>
      <c r="I4" s="4" t="s">
        <v>45</v>
      </c>
      <c r="J4" s="4"/>
      <c r="K4" s="92" t="s">
        <v>46</v>
      </c>
      <c r="L4" s="92" t="s">
        <v>22</v>
      </c>
      <c r="M4" s="92" t="s">
        <v>47</v>
      </c>
      <c r="N4" s="9">
        <v>45810</v>
      </c>
      <c r="O4" s="9">
        <v>46174</v>
      </c>
      <c r="P4" s="4" t="s">
        <v>31</v>
      </c>
      <c r="Q4" s="21">
        <v>360</v>
      </c>
      <c r="R4" s="20">
        <v>100</v>
      </c>
      <c r="S4" s="96">
        <v>0.2</v>
      </c>
      <c r="T4" s="20">
        <f t="shared" ref="T4:T8" si="0">SUM(U4/5)</f>
        <v>801</v>
      </c>
      <c r="U4" s="20">
        <f t="shared" ref="U4:U8" si="1">SUM(V4/4,5)</f>
        <v>4005</v>
      </c>
      <c r="V4" s="11">
        <v>16000</v>
      </c>
      <c r="W4" s="348"/>
      <c r="X4" s="342"/>
      <c r="Y4" s="342">
        <v>8000</v>
      </c>
      <c r="Z4" s="342"/>
      <c r="AA4" s="342">
        <v>8000</v>
      </c>
      <c r="AB4" s="342"/>
      <c r="AC4" s="342"/>
      <c r="AD4" s="342"/>
      <c r="AE4" s="342"/>
      <c r="AF4" s="348"/>
      <c r="AG4" s="342"/>
      <c r="AH4" s="342">
        <v>8000</v>
      </c>
      <c r="AI4" s="342"/>
      <c r="AJ4" s="342">
        <v>8000</v>
      </c>
      <c r="AK4" s="342"/>
      <c r="AL4" s="342"/>
      <c r="AM4" s="342"/>
      <c r="AN4" s="342"/>
      <c r="AO4" s="348"/>
      <c r="AP4" s="342"/>
      <c r="AQ4" s="342">
        <v>8000</v>
      </c>
      <c r="AR4" s="342"/>
      <c r="AS4" s="342">
        <v>8000</v>
      </c>
      <c r="AT4" s="342"/>
      <c r="AU4" s="342"/>
      <c r="AV4" s="342"/>
      <c r="AW4" s="342"/>
      <c r="AX4" s="343"/>
      <c r="AY4" s="343"/>
      <c r="AZ4" s="343"/>
      <c r="BA4" s="343"/>
      <c r="BB4" s="343"/>
      <c r="BC4" s="343"/>
      <c r="BD4" s="343"/>
      <c r="BE4" s="343"/>
      <c r="BF4" s="343"/>
      <c r="BG4" s="343"/>
      <c r="BH4" s="343"/>
      <c r="BI4" s="343"/>
      <c r="BJ4" s="343"/>
      <c r="BK4" s="343"/>
      <c r="BL4" s="343"/>
      <c r="BM4" s="343"/>
      <c r="BN4" s="343"/>
      <c r="BO4" s="343"/>
      <c r="BP4" s="343"/>
      <c r="BQ4" s="343"/>
      <c r="BR4" s="343"/>
      <c r="BS4" s="343"/>
      <c r="BT4" s="343"/>
      <c r="BU4" s="343"/>
      <c r="BV4" s="343"/>
      <c r="BW4" s="343"/>
      <c r="BX4" s="343"/>
      <c r="BY4" s="343"/>
      <c r="BZ4" s="343"/>
      <c r="CA4" s="343"/>
      <c r="CB4" s="343"/>
      <c r="CC4" s="343"/>
      <c r="CD4" s="343"/>
      <c r="CE4" s="343"/>
      <c r="CF4" s="343"/>
      <c r="CG4" s="343"/>
      <c r="CH4" s="343"/>
      <c r="CI4" s="343"/>
      <c r="CJ4" s="343"/>
      <c r="CK4" s="343"/>
      <c r="CL4" s="343"/>
      <c r="CM4" s="343"/>
      <c r="CN4" s="343"/>
      <c r="CO4" s="343"/>
      <c r="CP4" s="343"/>
      <c r="CQ4" s="343"/>
      <c r="CR4" s="343"/>
      <c r="CS4" s="343"/>
      <c r="CT4" s="343"/>
      <c r="CU4" s="343"/>
      <c r="CV4" s="343"/>
      <c r="CW4" s="343"/>
      <c r="CX4" s="343"/>
      <c r="CY4" s="343"/>
      <c r="CZ4" s="343"/>
      <c r="DA4" s="343"/>
      <c r="DB4" s="343"/>
      <c r="DC4" s="343"/>
    </row>
    <row r="5" spans="1:107" s="2" customFormat="1" x14ac:dyDescent="0.2">
      <c r="A5" s="3" t="s">
        <v>79</v>
      </c>
      <c r="B5" s="4" t="s">
        <v>224</v>
      </c>
      <c r="C5" s="5" t="s">
        <v>32</v>
      </c>
      <c r="D5" s="4" t="s">
        <v>48</v>
      </c>
      <c r="E5" s="98">
        <v>172800</v>
      </c>
      <c r="F5" s="99">
        <v>28</v>
      </c>
      <c r="G5" s="4" t="s">
        <v>49</v>
      </c>
      <c r="H5" s="17" t="s">
        <v>28</v>
      </c>
      <c r="I5" s="100" t="s">
        <v>50</v>
      </c>
      <c r="J5" s="101" t="s">
        <v>36</v>
      </c>
      <c r="K5" s="101" t="s">
        <v>30</v>
      </c>
      <c r="L5" s="101" t="s">
        <v>22</v>
      </c>
      <c r="M5" s="101" t="s">
        <v>23</v>
      </c>
      <c r="N5" s="9">
        <v>45854</v>
      </c>
      <c r="O5" s="9">
        <v>46218</v>
      </c>
      <c r="P5" s="4" t="s">
        <v>31</v>
      </c>
      <c r="Q5" s="21">
        <v>370</v>
      </c>
      <c r="R5" s="20">
        <v>90</v>
      </c>
      <c r="S5" s="4" t="s">
        <v>51</v>
      </c>
      <c r="T5" s="102">
        <f t="shared" si="0"/>
        <v>721</v>
      </c>
      <c r="U5" s="102">
        <f t="shared" si="1"/>
        <v>3605</v>
      </c>
      <c r="V5" s="11">
        <v>14400</v>
      </c>
      <c r="W5" s="348"/>
      <c r="X5" s="342"/>
      <c r="Y5" s="342">
        <v>7200</v>
      </c>
      <c r="Z5" s="342">
        <v>7200</v>
      </c>
      <c r="AA5" s="342"/>
      <c r="AB5" s="342"/>
      <c r="AC5" s="342"/>
      <c r="AD5" s="342"/>
      <c r="AE5" s="342"/>
      <c r="AF5" s="348"/>
      <c r="AG5" s="342"/>
      <c r="AH5" s="342">
        <v>7200</v>
      </c>
      <c r="AI5" s="342">
        <v>7200</v>
      </c>
      <c r="AJ5" s="342"/>
      <c r="AK5" s="342"/>
      <c r="AL5" s="342"/>
      <c r="AM5" s="342"/>
      <c r="AN5" s="342"/>
      <c r="AO5" s="348"/>
      <c r="AP5" s="342"/>
      <c r="AQ5" s="342">
        <v>7200</v>
      </c>
      <c r="AR5" s="342">
        <v>7200</v>
      </c>
      <c r="AS5" s="342"/>
      <c r="AT5" s="342"/>
      <c r="AU5" s="342"/>
      <c r="AV5" s="342"/>
      <c r="AW5" s="342"/>
      <c r="AX5" s="343"/>
      <c r="AY5" s="343"/>
      <c r="AZ5" s="343"/>
      <c r="BA5" s="343"/>
      <c r="BB5" s="343"/>
      <c r="BC5" s="343"/>
      <c r="BD5" s="343"/>
      <c r="BE5" s="343"/>
      <c r="BF5" s="343"/>
      <c r="BG5" s="343"/>
      <c r="BH5" s="343"/>
      <c r="BI5" s="343"/>
      <c r="BJ5" s="343"/>
      <c r="BK5" s="343"/>
      <c r="BL5" s="343"/>
      <c r="BM5" s="343"/>
      <c r="BN5" s="343"/>
      <c r="BO5" s="343"/>
      <c r="BP5" s="343"/>
      <c r="BQ5" s="343"/>
      <c r="BR5" s="343"/>
      <c r="BS5" s="343"/>
      <c r="BT5" s="343"/>
      <c r="BU5" s="343"/>
      <c r="BV5" s="343"/>
      <c r="BW5" s="343"/>
      <c r="BX5" s="343"/>
      <c r="BY5" s="343"/>
      <c r="BZ5" s="343"/>
      <c r="CA5" s="343"/>
      <c r="CB5" s="343"/>
      <c r="CC5" s="343"/>
      <c r="CD5" s="343"/>
      <c r="CE5" s="343"/>
      <c r="CF5" s="343"/>
      <c r="CG5" s="343"/>
      <c r="CH5" s="343"/>
      <c r="CI5" s="343"/>
      <c r="CJ5" s="343"/>
      <c r="CK5" s="343"/>
      <c r="CL5" s="343"/>
      <c r="CM5" s="343"/>
      <c r="CN5" s="343"/>
      <c r="CO5" s="343"/>
      <c r="CP5" s="343"/>
      <c r="CQ5" s="343"/>
      <c r="CR5" s="343"/>
      <c r="CS5" s="343"/>
      <c r="CT5" s="343"/>
      <c r="CU5" s="343"/>
      <c r="CV5" s="343"/>
      <c r="CW5" s="343"/>
      <c r="CX5" s="343"/>
      <c r="CY5" s="343"/>
      <c r="CZ5" s="343"/>
      <c r="DA5" s="343"/>
      <c r="DB5" s="343"/>
      <c r="DC5" s="343"/>
    </row>
    <row r="6" spans="1:107" s="2" customFormat="1" x14ac:dyDescent="0.2">
      <c r="A6" s="3" t="s">
        <v>79</v>
      </c>
      <c r="B6" s="4" t="s">
        <v>224</v>
      </c>
      <c r="C6" s="5" t="s">
        <v>32</v>
      </c>
      <c r="D6" s="4" t="s">
        <v>48</v>
      </c>
      <c r="E6" s="98">
        <v>172800</v>
      </c>
      <c r="F6" s="99">
        <v>28</v>
      </c>
      <c r="G6" s="4" t="s">
        <v>52</v>
      </c>
      <c r="H6" s="17" t="s">
        <v>28</v>
      </c>
      <c r="I6" s="30" t="s">
        <v>53</v>
      </c>
      <c r="J6" s="101" t="s">
        <v>36</v>
      </c>
      <c r="K6" s="101" t="s">
        <v>30</v>
      </c>
      <c r="L6" s="101" t="s">
        <v>22</v>
      </c>
      <c r="M6" s="92" t="s">
        <v>47</v>
      </c>
      <c r="N6" s="9">
        <v>45870</v>
      </c>
      <c r="O6" s="9">
        <v>46234</v>
      </c>
      <c r="P6" s="4" t="s">
        <v>31</v>
      </c>
      <c r="Q6" s="21">
        <v>370</v>
      </c>
      <c r="R6" s="20">
        <v>90</v>
      </c>
      <c r="S6" s="4" t="s">
        <v>51</v>
      </c>
      <c r="T6" s="102">
        <f t="shared" si="0"/>
        <v>721</v>
      </c>
      <c r="U6" s="102">
        <f t="shared" si="1"/>
        <v>3605</v>
      </c>
      <c r="V6" s="11">
        <v>14400</v>
      </c>
      <c r="W6" s="348"/>
      <c r="X6" s="342"/>
      <c r="Y6" s="342">
        <v>7200</v>
      </c>
      <c r="Z6" s="342"/>
      <c r="AA6" s="342">
        <v>7200</v>
      </c>
      <c r="AB6" s="342"/>
      <c r="AC6" s="342"/>
      <c r="AD6" s="342"/>
      <c r="AE6" s="342"/>
      <c r="AF6" s="348"/>
      <c r="AG6" s="342"/>
      <c r="AH6" s="342">
        <v>7200</v>
      </c>
      <c r="AI6" s="342"/>
      <c r="AJ6" s="342">
        <v>7200</v>
      </c>
      <c r="AK6" s="342"/>
      <c r="AL6" s="342"/>
      <c r="AM6" s="342"/>
      <c r="AN6" s="342"/>
      <c r="AO6" s="348"/>
      <c r="AP6" s="342"/>
      <c r="AQ6" s="342">
        <v>7200</v>
      </c>
      <c r="AR6" s="342"/>
      <c r="AS6" s="342">
        <v>7200</v>
      </c>
      <c r="AT6" s="342"/>
      <c r="AU6" s="342"/>
      <c r="AV6" s="342"/>
      <c r="AW6" s="342"/>
      <c r="AX6" s="343"/>
      <c r="AY6" s="343"/>
      <c r="AZ6" s="343"/>
      <c r="BA6" s="343"/>
      <c r="BB6" s="343"/>
      <c r="BC6" s="343"/>
      <c r="BD6" s="343"/>
      <c r="BE6" s="343"/>
      <c r="BF6" s="343"/>
      <c r="BG6" s="343"/>
      <c r="BH6" s="343"/>
      <c r="BI6" s="343"/>
      <c r="BJ6" s="343"/>
      <c r="BK6" s="343"/>
      <c r="BL6" s="343"/>
      <c r="BM6" s="343"/>
      <c r="BN6" s="343"/>
      <c r="BO6" s="343"/>
      <c r="BP6" s="343"/>
      <c r="BQ6" s="343"/>
      <c r="BR6" s="343"/>
      <c r="BS6" s="343"/>
      <c r="BT6" s="343"/>
      <c r="BU6" s="343"/>
      <c r="BV6" s="343"/>
      <c r="BW6" s="343"/>
      <c r="BX6" s="343"/>
      <c r="BY6" s="343"/>
      <c r="BZ6" s="343"/>
      <c r="CA6" s="343"/>
      <c r="CB6" s="343"/>
      <c r="CC6" s="343"/>
      <c r="CD6" s="343"/>
      <c r="CE6" s="343"/>
      <c r="CF6" s="343"/>
      <c r="CG6" s="343"/>
      <c r="CH6" s="343"/>
      <c r="CI6" s="343"/>
      <c r="CJ6" s="343"/>
      <c r="CK6" s="343"/>
      <c r="CL6" s="343"/>
      <c r="CM6" s="343"/>
      <c r="CN6" s="343"/>
      <c r="CO6" s="343"/>
      <c r="CP6" s="343"/>
      <c r="CQ6" s="343"/>
      <c r="CR6" s="343"/>
      <c r="CS6" s="343"/>
      <c r="CT6" s="343"/>
      <c r="CU6" s="343"/>
      <c r="CV6" s="343"/>
      <c r="CW6" s="343"/>
      <c r="CX6" s="343"/>
      <c r="CY6" s="343"/>
      <c r="CZ6" s="343"/>
      <c r="DA6" s="343"/>
      <c r="DB6" s="343"/>
      <c r="DC6" s="343"/>
    </row>
    <row r="7" spans="1:107" s="12" customFormat="1" x14ac:dyDescent="0.2">
      <c r="A7" s="3" t="s">
        <v>79</v>
      </c>
      <c r="B7" s="4" t="s">
        <v>224</v>
      </c>
      <c r="C7" s="5" t="s">
        <v>32</v>
      </c>
      <c r="D7" s="4" t="s">
        <v>48</v>
      </c>
      <c r="E7" s="98">
        <v>120960</v>
      </c>
      <c r="F7" s="99">
        <v>28</v>
      </c>
      <c r="G7" s="4" t="s">
        <v>54</v>
      </c>
      <c r="H7" s="4" t="s">
        <v>55</v>
      </c>
      <c r="I7" s="17" t="s">
        <v>56</v>
      </c>
      <c r="J7" s="101" t="s">
        <v>36</v>
      </c>
      <c r="K7" s="92" t="s">
        <v>57</v>
      </c>
      <c r="L7" s="101" t="s">
        <v>22</v>
      </c>
      <c r="M7" s="101" t="s">
        <v>23</v>
      </c>
      <c r="N7" s="103">
        <v>45870</v>
      </c>
      <c r="O7" s="9">
        <v>46234</v>
      </c>
      <c r="P7" s="4" t="s">
        <v>31</v>
      </c>
      <c r="Q7" s="21">
        <v>137</v>
      </c>
      <c r="R7" s="20">
        <v>63</v>
      </c>
      <c r="S7" s="4" t="s">
        <v>58</v>
      </c>
      <c r="T7" s="102">
        <f t="shared" si="0"/>
        <v>505</v>
      </c>
      <c r="U7" s="102">
        <f t="shared" si="1"/>
        <v>2525</v>
      </c>
      <c r="V7" s="11">
        <v>10080</v>
      </c>
      <c r="W7" s="348"/>
      <c r="X7" s="342"/>
      <c r="Y7" s="342">
        <v>5040</v>
      </c>
      <c r="Z7" s="342">
        <v>5040</v>
      </c>
      <c r="AA7" s="342"/>
      <c r="AB7" s="342"/>
      <c r="AC7" s="342"/>
      <c r="AD7" s="342"/>
      <c r="AE7" s="342"/>
      <c r="AF7" s="348"/>
      <c r="AG7" s="342"/>
      <c r="AH7" s="342">
        <v>5040</v>
      </c>
      <c r="AI7" s="342">
        <v>5040</v>
      </c>
      <c r="AJ7" s="342"/>
      <c r="AK7" s="342"/>
      <c r="AL7" s="342"/>
      <c r="AM7" s="342"/>
      <c r="AN7" s="342"/>
      <c r="AO7" s="348"/>
      <c r="AP7" s="342"/>
      <c r="AQ7" s="342">
        <v>5040</v>
      </c>
      <c r="AR7" s="342">
        <v>5040</v>
      </c>
      <c r="AS7" s="342"/>
      <c r="AT7" s="342"/>
      <c r="AU7" s="342"/>
      <c r="AV7" s="342"/>
      <c r="AW7" s="342"/>
      <c r="AX7" s="343"/>
      <c r="AY7" s="343"/>
      <c r="AZ7" s="343"/>
      <c r="BA7" s="343"/>
      <c r="BB7" s="343"/>
      <c r="BC7" s="343"/>
      <c r="BD7" s="343"/>
      <c r="BE7" s="343"/>
      <c r="BF7" s="343"/>
      <c r="BG7" s="343"/>
      <c r="BH7" s="343"/>
      <c r="BI7" s="343"/>
      <c r="BJ7" s="343"/>
      <c r="BK7" s="343"/>
      <c r="BL7" s="343"/>
      <c r="BM7" s="343"/>
      <c r="BN7" s="343"/>
      <c r="BO7" s="343"/>
      <c r="BP7" s="343"/>
      <c r="BQ7" s="343"/>
      <c r="BR7" s="343"/>
      <c r="BS7" s="343"/>
      <c r="BT7" s="343"/>
      <c r="BU7" s="343"/>
      <c r="BV7" s="343"/>
      <c r="BW7" s="343"/>
      <c r="BX7" s="343"/>
      <c r="BY7" s="343"/>
      <c r="BZ7" s="343"/>
      <c r="CA7" s="343"/>
      <c r="CB7" s="343"/>
      <c r="CC7" s="343"/>
      <c r="CD7" s="343"/>
      <c r="CE7" s="343"/>
      <c r="CF7" s="343"/>
      <c r="CG7" s="343"/>
      <c r="CH7" s="343"/>
      <c r="CI7" s="343"/>
      <c r="CJ7" s="343"/>
      <c r="CK7" s="343"/>
      <c r="CL7" s="343"/>
      <c r="CM7" s="343"/>
      <c r="CN7" s="343"/>
      <c r="CO7" s="343"/>
      <c r="CP7" s="343"/>
      <c r="CQ7" s="343"/>
      <c r="CR7" s="343"/>
      <c r="CS7" s="343"/>
      <c r="CT7" s="343"/>
      <c r="CU7" s="343"/>
      <c r="CV7" s="343"/>
      <c r="CW7" s="343"/>
      <c r="CX7" s="343"/>
      <c r="CY7" s="343"/>
      <c r="CZ7" s="343"/>
      <c r="DA7" s="343"/>
      <c r="DB7" s="343"/>
      <c r="DC7" s="343"/>
    </row>
    <row r="8" spans="1:107" s="12" customFormat="1" x14ac:dyDescent="0.2">
      <c r="A8" s="3" t="s">
        <v>79</v>
      </c>
      <c r="B8" s="4" t="s">
        <v>224</v>
      </c>
      <c r="C8" s="5" t="s">
        <v>32</v>
      </c>
      <c r="D8" s="4" t="s">
        <v>48</v>
      </c>
      <c r="E8" s="98">
        <v>120960</v>
      </c>
      <c r="F8" s="99">
        <v>28</v>
      </c>
      <c r="G8" s="4" t="s">
        <v>59</v>
      </c>
      <c r="H8" s="4" t="s">
        <v>55</v>
      </c>
      <c r="I8" s="4" t="s">
        <v>60</v>
      </c>
      <c r="J8" s="101" t="s">
        <v>36</v>
      </c>
      <c r="K8" s="92" t="s">
        <v>57</v>
      </c>
      <c r="L8" s="101" t="s">
        <v>22</v>
      </c>
      <c r="M8" s="101" t="s">
        <v>23</v>
      </c>
      <c r="N8" s="9">
        <v>45852</v>
      </c>
      <c r="O8" s="9">
        <v>46216</v>
      </c>
      <c r="P8" s="4" t="s">
        <v>31</v>
      </c>
      <c r="Q8" s="21">
        <v>137</v>
      </c>
      <c r="R8" s="20">
        <v>63</v>
      </c>
      <c r="S8" s="4" t="s">
        <v>58</v>
      </c>
      <c r="T8" s="102">
        <f t="shared" si="0"/>
        <v>505</v>
      </c>
      <c r="U8" s="102">
        <f t="shared" si="1"/>
        <v>2525</v>
      </c>
      <c r="V8" s="11">
        <v>10080</v>
      </c>
      <c r="W8" s="348"/>
      <c r="X8" s="342"/>
      <c r="Y8" s="342">
        <v>5040</v>
      </c>
      <c r="Z8" s="342">
        <v>5040</v>
      </c>
      <c r="AA8" s="342"/>
      <c r="AB8" s="342"/>
      <c r="AC8" s="342"/>
      <c r="AD8" s="342"/>
      <c r="AE8" s="342"/>
      <c r="AF8" s="348"/>
      <c r="AG8" s="342"/>
      <c r="AH8" s="342">
        <v>5040</v>
      </c>
      <c r="AI8" s="342">
        <v>5040</v>
      </c>
      <c r="AJ8" s="342"/>
      <c r="AK8" s="342"/>
      <c r="AL8" s="342"/>
      <c r="AM8" s="342"/>
      <c r="AN8" s="342"/>
      <c r="AO8" s="348"/>
      <c r="AP8" s="342"/>
      <c r="AQ8" s="342">
        <v>5040</v>
      </c>
      <c r="AR8" s="342">
        <v>5040</v>
      </c>
      <c r="AS8" s="342"/>
      <c r="AT8" s="342"/>
      <c r="AU8" s="342"/>
      <c r="AV8" s="342"/>
      <c r="AW8" s="342"/>
      <c r="AX8" s="343"/>
      <c r="AY8" s="343"/>
      <c r="AZ8" s="343"/>
      <c r="BA8" s="343"/>
      <c r="BB8" s="343"/>
      <c r="BC8" s="343"/>
      <c r="BD8" s="343"/>
      <c r="BE8" s="343"/>
      <c r="BF8" s="343"/>
      <c r="BG8" s="343"/>
      <c r="BH8" s="343"/>
      <c r="BI8" s="343"/>
      <c r="BJ8" s="343"/>
      <c r="BK8" s="343"/>
      <c r="BL8" s="343"/>
      <c r="BM8" s="343"/>
      <c r="BN8" s="343"/>
      <c r="BO8" s="343"/>
      <c r="BP8" s="343"/>
      <c r="BQ8" s="343"/>
      <c r="BR8" s="343"/>
      <c r="BS8" s="343"/>
      <c r="BT8" s="343"/>
      <c r="BU8" s="343"/>
      <c r="BV8" s="343"/>
      <c r="BW8" s="343"/>
      <c r="BX8" s="343"/>
      <c r="BY8" s="343"/>
      <c r="BZ8" s="343"/>
      <c r="CA8" s="343"/>
      <c r="CB8" s="343"/>
      <c r="CC8" s="343"/>
      <c r="CD8" s="343"/>
      <c r="CE8" s="343"/>
      <c r="CF8" s="343"/>
      <c r="CG8" s="343"/>
      <c r="CH8" s="343"/>
      <c r="CI8" s="343"/>
      <c r="CJ8" s="343"/>
      <c r="CK8" s="343"/>
      <c r="CL8" s="343"/>
      <c r="CM8" s="343"/>
      <c r="CN8" s="343"/>
      <c r="CO8" s="343"/>
      <c r="CP8" s="343"/>
      <c r="CQ8" s="343"/>
      <c r="CR8" s="343"/>
      <c r="CS8" s="343"/>
      <c r="CT8" s="343"/>
      <c r="CU8" s="343"/>
      <c r="CV8" s="343"/>
      <c r="CW8" s="343"/>
      <c r="CX8" s="343"/>
      <c r="CY8" s="343"/>
      <c r="CZ8" s="343"/>
      <c r="DA8" s="343"/>
      <c r="DB8" s="343"/>
      <c r="DC8" s="343"/>
    </row>
    <row r="9" spans="1:107" s="12" customFormat="1" x14ac:dyDescent="0.2">
      <c r="A9" s="3" t="s">
        <v>79</v>
      </c>
      <c r="B9" s="4" t="s">
        <v>224</v>
      </c>
      <c r="C9" s="104" t="s">
        <v>32</v>
      </c>
      <c r="D9" s="37" t="s">
        <v>33</v>
      </c>
      <c r="E9" s="105">
        <v>140160</v>
      </c>
      <c r="F9" s="106">
        <v>36</v>
      </c>
      <c r="G9" s="37" t="s">
        <v>61</v>
      </c>
      <c r="H9" s="37" t="s">
        <v>55</v>
      </c>
      <c r="I9" s="37" t="s">
        <v>62</v>
      </c>
      <c r="J9" s="37" t="s">
        <v>29</v>
      </c>
      <c r="K9" s="107" t="s">
        <v>63</v>
      </c>
      <c r="L9" s="108" t="s">
        <v>22</v>
      </c>
      <c r="M9" s="108" t="s">
        <v>21</v>
      </c>
      <c r="N9" s="44">
        <v>45915</v>
      </c>
      <c r="O9" s="44">
        <v>45991</v>
      </c>
      <c r="P9" s="17" t="s">
        <v>31</v>
      </c>
      <c r="Q9" s="363">
        <v>137</v>
      </c>
      <c r="R9" s="102">
        <v>73</v>
      </c>
      <c r="S9" s="37">
        <v>33.33</v>
      </c>
      <c r="T9" s="109">
        <f>SUM(U9/5)</f>
        <v>519.11111111111109</v>
      </c>
      <c r="U9" s="110">
        <f>SUM(V9/4.5)</f>
        <v>2595.5555555555557</v>
      </c>
      <c r="V9" s="111">
        <v>11680</v>
      </c>
      <c r="W9" s="349"/>
      <c r="X9" s="72">
        <v>6000</v>
      </c>
      <c r="Y9" s="72">
        <v>6000</v>
      </c>
      <c r="Z9" s="72"/>
      <c r="AA9" s="72"/>
      <c r="AB9" s="72"/>
      <c r="AC9" s="72"/>
      <c r="AD9" s="72"/>
      <c r="AE9" s="72"/>
      <c r="AF9" s="349"/>
      <c r="AG9" s="72">
        <v>6000</v>
      </c>
      <c r="AH9" s="72">
        <v>6000</v>
      </c>
      <c r="AI9" s="72"/>
      <c r="AJ9" s="72"/>
      <c r="AK9" s="72"/>
      <c r="AL9" s="72"/>
      <c r="AM9" s="72"/>
      <c r="AN9" s="72"/>
      <c r="AO9" s="349"/>
      <c r="AP9" s="72">
        <v>6000</v>
      </c>
      <c r="AQ9" s="72">
        <v>6000</v>
      </c>
      <c r="AR9" s="72"/>
      <c r="AS9" s="72"/>
      <c r="AT9" s="72"/>
      <c r="AU9" s="72"/>
      <c r="AV9" s="72"/>
      <c r="AW9" s="72"/>
      <c r="AX9" s="343"/>
      <c r="AY9" s="343"/>
      <c r="AZ9" s="343"/>
      <c r="BA9" s="343"/>
      <c r="BB9" s="343"/>
      <c r="BC9" s="343"/>
      <c r="BD9" s="343"/>
      <c r="BE9" s="343"/>
      <c r="BF9" s="343"/>
      <c r="BG9" s="343"/>
      <c r="BH9" s="343"/>
      <c r="BI9" s="343"/>
      <c r="BJ9" s="343"/>
      <c r="BK9" s="343"/>
      <c r="BL9" s="343"/>
      <c r="BM9" s="343"/>
      <c r="BN9" s="343"/>
      <c r="BO9" s="343"/>
      <c r="BP9" s="343"/>
      <c r="BQ9" s="343"/>
      <c r="BR9" s="343"/>
      <c r="BS9" s="343"/>
      <c r="BT9" s="343"/>
      <c r="BU9" s="343"/>
      <c r="BV9" s="343"/>
      <c r="BW9" s="343"/>
      <c r="BX9" s="343"/>
      <c r="BY9" s="343"/>
      <c r="BZ9" s="343"/>
      <c r="CA9" s="343"/>
      <c r="CB9" s="343"/>
      <c r="CC9" s="343"/>
      <c r="CD9" s="343"/>
      <c r="CE9" s="343"/>
      <c r="CF9" s="343"/>
      <c r="CG9" s="343"/>
      <c r="CH9" s="343"/>
      <c r="CI9" s="343"/>
      <c r="CJ9" s="343"/>
      <c r="CK9" s="343"/>
      <c r="CL9" s="343"/>
      <c r="CM9" s="343"/>
      <c r="CN9" s="343"/>
      <c r="CO9" s="343"/>
      <c r="CP9" s="343"/>
      <c r="CQ9" s="343"/>
      <c r="CR9" s="343"/>
      <c r="CS9" s="343"/>
      <c r="CT9" s="343"/>
      <c r="CU9" s="343"/>
      <c r="CV9" s="343"/>
      <c r="CW9" s="343"/>
      <c r="CX9" s="343"/>
      <c r="CY9" s="343"/>
      <c r="CZ9" s="343"/>
      <c r="DA9" s="343"/>
      <c r="DB9" s="343"/>
      <c r="DC9" s="343"/>
    </row>
    <row r="10" spans="1:107" x14ac:dyDescent="0.2">
      <c r="A10" s="3" t="s">
        <v>79</v>
      </c>
      <c r="B10" s="4" t="s">
        <v>224</v>
      </c>
      <c r="C10" s="5" t="s">
        <v>32</v>
      </c>
      <c r="D10" s="4" t="s">
        <v>33</v>
      </c>
      <c r="E10" s="6">
        <v>116800</v>
      </c>
      <c r="F10" s="7">
        <v>38</v>
      </c>
      <c r="G10" s="4" t="s">
        <v>64</v>
      </c>
      <c r="H10" s="4" t="s">
        <v>65</v>
      </c>
      <c r="I10" s="4" t="s">
        <v>66</v>
      </c>
      <c r="J10" s="92"/>
      <c r="K10" s="92" t="s">
        <v>67</v>
      </c>
      <c r="L10" s="92" t="s">
        <v>22</v>
      </c>
      <c r="M10" s="92" t="s">
        <v>21</v>
      </c>
      <c r="N10" s="4" t="s">
        <v>68</v>
      </c>
      <c r="O10" s="9" t="s">
        <v>69</v>
      </c>
      <c r="P10" s="4" t="s">
        <v>31</v>
      </c>
      <c r="Q10" s="21"/>
      <c r="R10" s="20"/>
      <c r="S10" s="4"/>
      <c r="T10" s="6">
        <f>SUM(U10/5)</f>
        <v>711.11111111111109</v>
      </c>
      <c r="U10" s="10">
        <f>SUM(V10/4.5)</f>
        <v>3555.5555555555557</v>
      </c>
      <c r="V10" s="11">
        <v>16000</v>
      </c>
      <c r="W10" s="348"/>
      <c r="X10" s="342">
        <v>8000</v>
      </c>
      <c r="Y10" s="342">
        <v>8000</v>
      </c>
      <c r="Z10" s="342"/>
      <c r="AA10" s="342"/>
      <c r="AB10" s="342"/>
      <c r="AC10" s="342"/>
      <c r="AD10" s="342"/>
      <c r="AE10" s="342"/>
      <c r="AF10" s="348"/>
      <c r="AG10" s="342">
        <v>8000</v>
      </c>
      <c r="AH10" s="342">
        <v>8000</v>
      </c>
      <c r="AI10" s="342"/>
      <c r="AJ10" s="342"/>
      <c r="AK10" s="342"/>
      <c r="AL10" s="342"/>
      <c r="AM10" s="342"/>
      <c r="AN10" s="342"/>
      <c r="AO10" s="348"/>
      <c r="AP10" s="342">
        <v>8000</v>
      </c>
      <c r="AQ10" s="342">
        <v>8000</v>
      </c>
      <c r="AR10" s="342"/>
      <c r="AS10" s="342"/>
      <c r="AT10" s="342"/>
      <c r="AU10" s="342"/>
      <c r="AV10" s="342"/>
      <c r="AW10" s="342"/>
    </row>
    <row r="11" spans="1:107" x14ac:dyDescent="0.2">
      <c r="A11" s="22" t="s">
        <v>79</v>
      </c>
      <c r="B11" s="4" t="s">
        <v>224</v>
      </c>
      <c r="C11" s="23" t="s">
        <v>32</v>
      </c>
      <c r="D11" s="24" t="s">
        <v>80</v>
      </c>
      <c r="E11" s="25">
        <v>211200</v>
      </c>
      <c r="F11" s="26">
        <v>8</v>
      </c>
      <c r="G11" s="27"/>
      <c r="H11" s="62" t="s">
        <v>28</v>
      </c>
      <c r="I11" s="36" t="s">
        <v>83</v>
      </c>
      <c r="J11" s="24" t="s">
        <v>36</v>
      </c>
      <c r="K11" s="37" t="s">
        <v>30</v>
      </c>
      <c r="L11" s="31" t="s">
        <v>22</v>
      </c>
      <c r="M11" s="31" t="s">
        <v>23</v>
      </c>
      <c r="N11" s="112">
        <v>46083</v>
      </c>
      <c r="O11" s="58">
        <v>46447</v>
      </c>
      <c r="P11" s="33" t="s">
        <v>31</v>
      </c>
      <c r="Q11" s="45">
        <v>470</v>
      </c>
      <c r="R11" s="45">
        <v>110</v>
      </c>
      <c r="S11" s="113">
        <v>0.18959999999999999</v>
      </c>
      <c r="T11" s="45">
        <f>SUM(U11/5)</f>
        <v>782.22222222222229</v>
      </c>
      <c r="U11" s="59">
        <f>SUM(V11/4.5)</f>
        <v>3911.1111111111113</v>
      </c>
      <c r="V11" s="46">
        <v>17600</v>
      </c>
      <c r="W11" s="350"/>
      <c r="X11" s="29"/>
      <c r="Y11" s="29">
        <v>8800</v>
      </c>
      <c r="Z11" s="29">
        <v>8800</v>
      </c>
      <c r="AA11" s="29"/>
      <c r="AB11" s="29"/>
      <c r="AC11" s="29"/>
      <c r="AD11" s="29"/>
      <c r="AE11" s="29"/>
      <c r="AF11" s="350"/>
      <c r="AG11" s="29"/>
      <c r="AH11" s="29">
        <v>8800</v>
      </c>
      <c r="AI11" s="29">
        <v>8800</v>
      </c>
      <c r="AJ11" s="29"/>
      <c r="AK11" s="29"/>
      <c r="AL11" s="29"/>
      <c r="AM11" s="29"/>
      <c r="AN11" s="29"/>
      <c r="AO11" s="350"/>
      <c r="AP11" s="72"/>
      <c r="AQ11" s="72">
        <v>8800</v>
      </c>
      <c r="AR11" s="72">
        <v>8800</v>
      </c>
      <c r="AS11" s="72"/>
      <c r="AT11" s="72"/>
      <c r="AU11" s="72"/>
      <c r="AV11" s="72"/>
      <c r="AW11" s="72"/>
    </row>
    <row r="12" spans="1:107" x14ac:dyDescent="0.2">
      <c r="A12" s="30" t="s">
        <v>79</v>
      </c>
      <c r="B12" s="4" t="s">
        <v>224</v>
      </c>
      <c r="C12" s="32" t="s">
        <v>32</v>
      </c>
      <c r="D12" s="33" t="s">
        <v>80</v>
      </c>
      <c r="E12" s="34">
        <v>134400</v>
      </c>
      <c r="F12" s="35">
        <v>9</v>
      </c>
      <c r="G12" s="293"/>
      <c r="H12" s="65" t="s">
        <v>28</v>
      </c>
      <c r="I12" s="67" t="s">
        <v>84</v>
      </c>
      <c r="J12" s="67" t="s">
        <v>36</v>
      </c>
      <c r="K12" s="36" t="s">
        <v>85</v>
      </c>
      <c r="L12" s="37" t="s">
        <v>22</v>
      </c>
      <c r="M12" s="37" t="s">
        <v>21</v>
      </c>
      <c r="N12" s="38">
        <v>46113</v>
      </c>
      <c r="O12" s="9">
        <v>46447</v>
      </c>
      <c r="P12" s="4" t="s">
        <v>31</v>
      </c>
      <c r="Q12" s="20">
        <v>350</v>
      </c>
      <c r="R12" s="20">
        <v>70</v>
      </c>
      <c r="S12" s="113">
        <v>0.18959999999999999</v>
      </c>
      <c r="T12" s="39">
        <f>SUM(U12/5)</f>
        <v>497.77777777777771</v>
      </c>
      <c r="U12" s="39">
        <f>SUM(V12/4.5)</f>
        <v>2488.8888888888887</v>
      </c>
      <c r="V12" s="39">
        <v>11200</v>
      </c>
      <c r="W12" s="351"/>
      <c r="X12" s="40">
        <v>5600</v>
      </c>
      <c r="Y12" s="40">
        <v>5600</v>
      </c>
      <c r="Z12" s="29"/>
      <c r="AA12" s="29"/>
      <c r="AB12" s="29"/>
      <c r="AC12" s="29"/>
      <c r="AD12" s="29"/>
      <c r="AE12" s="29"/>
      <c r="AF12" s="351"/>
      <c r="AG12" s="40">
        <v>5600</v>
      </c>
      <c r="AH12" s="40">
        <v>5600</v>
      </c>
      <c r="AI12" s="29"/>
      <c r="AJ12" s="29"/>
      <c r="AK12" s="29"/>
      <c r="AL12" s="29"/>
      <c r="AM12" s="29"/>
      <c r="AN12" s="29"/>
      <c r="AO12" s="351"/>
      <c r="AP12" s="40">
        <v>5600</v>
      </c>
      <c r="AQ12" s="40">
        <v>5600</v>
      </c>
      <c r="AR12" s="29"/>
      <c r="AS12" s="29"/>
      <c r="AT12" s="29"/>
      <c r="AU12" s="29"/>
      <c r="AV12" s="29"/>
      <c r="AW12" s="29"/>
    </row>
    <row r="13" spans="1:107" x14ac:dyDescent="0.2">
      <c r="A13" s="3" t="s">
        <v>79</v>
      </c>
      <c r="B13" s="4" t="s">
        <v>224</v>
      </c>
      <c r="C13" s="5" t="s">
        <v>32</v>
      </c>
      <c r="D13" s="37" t="s">
        <v>91</v>
      </c>
      <c r="E13" s="50">
        <v>134400</v>
      </c>
      <c r="F13" s="35">
        <v>10</v>
      </c>
      <c r="G13" s="294"/>
      <c r="H13" s="65" t="s">
        <v>28</v>
      </c>
      <c r="I13" s="67" t="s">
        <v>92</v>
      </c>
      <c r="J13" s="67" t="s">
        <v>93</v>
      </c>
      <c r="K13" s="37" t="s">
        <v>85</v>
      </c>
      <c r="L13" s="4" t="s">
        <v>22</v>
      </c>
      <c r="M13" s="4" t="s">
        <v>21</v>
      </c>
      <c r="N13" s="38">
        <v>46113</v>
      </c>
      <c r="O13" s="44">
        <v>46477</v>
      </c>
      <c r="P13" s="52" t="s">
        <v>31</v>
      </c>
      <c r="Q13" s="41">
        <v>290</v>
      </c>
      <c r="R13" s="41">
        <v>70</v>
      </c>
      <c r="S13" s="51">
        <f>R13/Q13</f>
        <v>0.2413793103448276</v>
      </c>
      <c r="T13" s="53">
        <f>SUM(U13/5)</f>
        <v>497.77777777777771</v>
      </c>
      <c r="U13" s="53">
        <f>SUM(V13/4.5)</f>
        <v>2488.8888888888887</v>
      </c>
      <c r="V13" s="54">
        <v>11200</v>
      </c>
      <c r="W13" s="351"/>
      <c r="X13" s="29">
        <v>5600</v>
      </c>
      <c r="Y13" s="29">
        <v>5600</v>
      </c>
      <c r="Z13" s="29"/>
      <c r="AA13" s="29"/>
      <c r="AB13" s="29"/>
      <c r="AC13" s="29"/>
      <c r="AD13" s="29"/>
      <c r="AE13" s="29"/>
      <c r="AF13" s="351"/>
      <c r="AG13" s="29">
        <v>5600</v>
      </c>
      <c r="AH13" s="29">
        <v>5600</v>
      </c>
      <c r="AI13" s="29"/>
      <c r="AJ13" s="29"/>
      <c r="AK13" s="29"/>
      <c r="AL13" s="29"/>
      <c r="AM13" s="29"/>
      <c r="AN13" s="29"/>
      <c r="AO13" s="351"/>
      <c r="AP13" s="29">
        <v>5600</v>
      </c>
      <c r="AQ13" s="29">
        <v>5600</v>
      </c>
      <c r="AR13" s="29"/>
      <c r="AS13" s="29"/>
      <c r="AT13" s="29"/>
      <c r="AU13" s="29"/>
      <c r="AV13" s="29"/>
      <c r="AW13" s="29"/>
    </row>
    <row r="14" spans="1:107" x14ac:dyDescent="0.2">
      <c r="A14" s="322" t="s">
        <v>79</v>
      </c>
      <c r="B14" s="4" t="s">
        <v>224</v>
      </c>
      <c r="C14" s="323" t="s">
        <v>32</v>
      </c>
      <c r="D14" s="324" t="s">
        <v>91</v>
      </c>
      <c r="E14" s="63">
        <v>134400</v>
      </c>
      <c r="F14" s="55">
        <v>10</v>
      </c>
      <c r="G14" s="295"/>
      <c r="H14" s="325" t="s">
        <v>28</v>
      </c>
      <c r="I14" s="326" t="s">
        <v>94</v>
      </c>
      <c r="J14" s="327" t="s">
        <v>93</v>
      </c>
      <c r="K14" s="36" t="s">
        <v>85</v>
      </c>
      <c r="L14" s="328" t="s">
        <v>22</v>
      </c>
      <c r="M14" s="62" t="s">
        <v>23</v>
      </c>
      <c r="N14" s="329">
        <v>46113</v>
      </c>
      <c r="O14" s="330">
        <v>46477</v>
      </c>
      <c r="P14" s="324" t="s">
        <v>31</v>
      </c>
      <c r="Q14" s="364"/>
      <c r="R14" s="64">
        <v>70</v>
      </c>
      <c r="S14" s="331" t="e">
        <f>R14/Q14</f>
        <v>#DIV/0!</v>
      </c>
      <c r="T14" s="332">
        <f>SUM(U14/5)</f>
        <v>497.77777777777771</v>
      </c>
      <c r="U14" s="56">
        <f>SUM(V14/4.5)</f>
        <v>2488.8888888888887</v>
      </c>
      <c r="V14" s="57">
        <v>11200</v>
      </c>
      <c r="W14" s="352"/>
      <c r="X14" s="29"/>
      <c r="Y14" s="29">
        <v>5600</v>
      </c>
      <c r="Z14" s="29">
        <v>5600</v>
      </c>
      <c r="AA14" s="29"/>
      <c r="AB14" s="29"/>
      <c r="AC14" s="29"/>
      <c r="AD14" s="29"/>
      <c r="AE14" s="29"/>
      <c r="AF14" s="352"/>
      <c r="AG14" s="29"/>
      <c r="AH14" s="29">
        <v>5600</v>
      </c>
      <c r="AI14" s="29">
        <v>5600</v>
      </c>
      <c r="AJ14" s="29"/>
      <c r="AK14" s="29"/>
      <c r="AL14" s="29"/>
      <c r="AM14" s="29"/>
      <c r="AN14" s="29"/>
      <c r="AO14" s="352"/>
      <c r="AP14" s="29"/>
      <c r="AQ14" s="29">
        <v>5600</v>
      </c>
      <c r="AR14" s="29">
        <v>5600</v>
      </c>
      <c r="AS14" s="29"/>
      <c r="AT14" s="29"/>
      <c r="AU14" s="29"/>
      <c r="AV14" s="29"/>
      <c r="AW14" s="29"/>
    </row>
    <row r="15" spans="1:107" x14ac:dyDescent="0.2">
      <c r="A15" s="296" t="s">
        <v>79</v>
      </c>
      <c r="B15" s="4" t="s">
        <v>224</v>
      </c>
      <c r="C15" s="333" t="s">
        <v>32</v>
      </c>
      <c r="D15" s="296" t="s">
        <v>91</v>
      </c>
      <c r="E15" s="334">
        <v>16000</v>
      </c>
      <c r="F15" s="335">
        <v>10</v>
      </c>
      <c r="G15" s="69"/>
      <c r="H15" s="296" t="s">
        <v>65</v>
      </c>
      <c r="I15" s="296" t="s">
        <v>81</v>
      </c>
      <c r="J15" s="296" t="s">
        <v>36</v>
      </c>
      <c r="K15" s="67" t="s">
        <v>82</v>
      </c>
      <c r="L15" s="296" t="s">
        <v>22</v>
      </c>
      <c r="M15" s="296" t="s">
        <v>21</v>
      </c>
      <c r="N15" s="336">
        <v>46079</v>
      </c>
      <c r="O15" s="70">
        <v>46538</v>
      </c>
      <c r="P15" s="297" t="s">
        <v>31</v>
      </c>
      <c r="Q15" s="362">
        <v>90</v>
      </c>
      <c r="R15" s="362">
        <v>11</v>
      </c>
      <c r="S15" s="331" t="s">
        <v>231</v>
      </c>
      <c r="T15" s="337">
        <f>SUM(U15/5)</f>
        <v>355.55555555555554</v>
      </c>
      <c r="U15" s="60">
        <f>SUM(V15/4.5)</f>
        <v>1777.7777777777778</v>
      </c>
      <c r="V15" s="61">
        <v>8000</v>
      </c>
      <c r="W15" s="350"/>
      <c r="X15" s="29">
        <v>4000</v>
      </c>
      <c r="Y15" s="29">
        <v>4000</v>
      </c>
      <c r="Z15" s="29"/>
      <c r="AA15" s="29"/>
      <c r="AB15" s="29"/>
      <c r="AC15" s="29"/>
      <c r="AD15" s="29"/>
      <c r="AE15" s="29"/>
      <c r="AF15" s="350"/>
      <c r="AG15" s="29">
        <v>4000</v>
      </c>
      <c r="AH15" s="29">
        <v>4000</v>
      </c>
      <c r="AI15" s="29"/>
      <c r="AJ15" s="29"/>
      <c r="AK15" s="29"/>
      <c r="AL15" s="29"/>
      <c r="AM15" s="29"/>
      <c r="AN15" s="29"/>
      <c r="AO15" s="350"/>
      <c r="AP15" s="29"/>
      <c r="AQ15" s="29"/>
      <c r="AR15" s="29"/>
      <c r="AS15" s="29"/>
      <c r="AT15" s="29"/>
      <c r="AU15" s="29"/>
      <c r="AV15" s="29"/>
      <c r="AW15" s="29"/>
    </row>
    <row r="16" spans="1:107" ht="15" x14ac:dyDescent="0.2">
      <c r="A16" s="65" t="s">
        <v>86</v>
      </c>
      <c r="B16" s="4" t="s">
        <v>224</v>
      </c>
      <c r="C16" s="66" t="s">
        <v>32</v>
      </c>
      <c r="D16" s="67"/>
      <c r="E16" s="68"/>
      <c r="F16" s="67"/>
      <c r="G16" s="338"/>
      <c r="H16" s="65" t="s">
        <v>227</v>
      </c>
      <c r="I16" s="339" t="s">
        <v>130</v>
      </c>
      <c r="J16" s="65" t="s">
        <v>230</v>
      </c>
      <c r="K16" s="340"/>
      <c r="L16" s="65" t="s">
        <v>120</v>
      </c>
      <c r="M16" s="65"/>
      <c r="N16" s="345">
        <v>45870</v>
      </c>
      <c r="O16" s="345">
        <v>46174</v>
      </c>
      <c r="P16" s="67" t="s">
        <v>117</v>
      </c>
      <c r="Q16" s="362">
        <v>80</v>
      </c>
      <c r="R16" s="362">
        <v>17</v>
      </c>
      <c r="S16" s="331" t="s">
        <v>232</v>
      </c>
      <c r="T16" s="337">
        <f t="shared" ref="T16:T17" si="2">SUM(U16/5)</f>
        <v>2047.6</v>
      </c>
      <c r="U16" s="41">
        <v>10238</v>
      </c>
      <c r="V16" s="54">
        <v>45425</v>
      </c>
      <c r="W16" s="351"/>
      <c r="X16" s="29"/>
      <c r="Y16" s="29"/>
      <c r="Z16" s="29"/>
      <c r="AA16" s="29"/>
      <c r="AB16" s="29">
        <f>V16</f>
        <v>45425</v>
      </c>
      <c r="AC16" s="29"/>
      <c r="AD16" s="29"/>
      <c r="AE16" s="29"/>
      <c r="AF16" s="351"/>
      <c r="AG16" s="29"/>
      <c r="AH16" s="29"/>
      <c r="AI16" s="29"/>
      <c r="AJ16" s="29"/>
      <c r="AK16" s="29">
        <f>AB16</f>
        <v>45425</v>
      </c>
      <c r="AL16" s="29"/>
      <c r="AM16" s="29"/>
      <c r="AN16" s="29"/>
      <c r="AO16" s="351"/>
      <c r="AP16" s="29"/>
      <c r="AQ16" s="29"/>
      <c r="AR16" s="29"/>
      <c r="AS16" s="29"/>
      <c r="AT16" s="29">
        <f>AK16</f>
        <v>45425</v>
      </c>
      <c r="AU16" s="29"/>
      <c r="AV16" s="29"/>
      <c r="AW16" s="29"/>
    </row>
    <row r="17" spans="1:49" ht="15" x14ac:dyDescent="0.2">
      <c r="A17" s="65" t="s">
        <v>86</v>
      </c>
      <c r="B17" s="4" t="s">
        <v>224</v>
      </c>
      <c r="C17" s="66" t="s">
        <v>32</v>
      </c>
      <c r="D17" s="67"/>
      <c r="E17" s="68"/>
      <c r="F17" s="67"/>
      <c r="G17" s="338"/>
      <c r="H17" s="65" t="s">
        <v>227</v>
      </c>
      <c r="I17" s="339" t="s">
        <v>228</v>
      </c>
      <c r="J17" s="65" t="s">
        <v>229</v>
      </c>
      <c r="K17" s="340"/>
      <c r="L17" s="65" t="s">
        <v>120</v>
      </c>
      <c r="M17" s="65"/>
      <c r="N17" s="345">
        <v>45870</v>
      </c>
      <c r="O17" s="345">
        <v>46174</v>
      </c>
      <c r="P17" s="67" t="s">
        <v>117</v>
      </c>
      <c r="Q17" s="67"/>
      <c r="R17" s="67"/>
      <c r="S17" s="331" t="e">
        <f t="shared" ref="S17:S21" si="3">R17/Q17</f>
        <v>#DIV/0!</v>
      </c>
      <c r="T17" s="337">
        <f t="shared" si="2"/>
        <v>1668.8220000000001</v>
      </c>
      <c r="U17" s="41">
        <v>8344.11</v>
      </c>
      <c r="V17" s="54">
        <v>29400</v>
      </c>
      <c r="W17" s="351"/>
      <c r="X17" s="29"/>
      <c r="Y17" s="29"/>
      <c r="Z17" s="29"/>
      <c r="AA17" s="29"/>
      <c r="AB17" s="29">
        <f>V17</f>
        <v>29400</v>
      </c>
      <c r="AC17" s="29"/>
      <c r="AD17" s="29"/>
      <c r="AE17" s="29"/>
      <c r="AF17" s="351"/>
      <c r="AG17" s="29"/>
      <c r="AH17" s="29"/>
      <c r="AI17" s="29"/>
      <c r="AJ17" s="29"/>
      <c r="AK17" s="29">
        <f>AB17</f>
        <v>29400</v>
      </c>
      <c r="AL17" s="29"/>
      <c r="AM17" s="29"/>
      <c r="AN17" s="29"/>
      <c r="AO17" s="351"/>
      <c r="AP17" s="29"/>
      <c r="AQ17" s="29"/>
      <c r="AR17" s="29"/>
      <c r="AS17" s="29"/>
      <c r="AT17" s="29">
        <f>AK17</f>
        <v>29400</v>
      </c>
      <c r="AU17" s="29"/>
      <c r="AV17" s="29"/>
      <c r="AW17" s="29"/>
    </row>
    <row r="18" spans="1:49" ht="15" x14ac:dyDescent="0.2">
      <c r="A18" s="296" t="s">
        <v>79</v>
      </c>
      <c r="B18" s="4" t="s">
        <v>224</v>
      </c>
      <c r="C18" s="66" t="s">
        <v>32</v>
      </c>
      <c r="D18" s="67" t="s">
        <v>91</v>
      </c>
      <c r="E18" s="68">
        <v>134400</v>
      </c>
      <c r="F18" s="335">
        <v>11</v>
      </c>
      <c r="G18" s="338"/>
      <c r="H18" s="296" t="s">
        <v>28</v>
      </c>
      <c r="I18" s="339" t="s">
        <v>222</v>
      </c>
      <c r="J18" s="65" t="s">
        <v>36</v>
      </c>
      <c r="K18" s="65" t="s">
        <v>85</v>
      </c>
      <c r="L18" s="296" t="s">
        <v>22</v>
      </c>
      <c r="M18" s="65" t="s">
        <v>47</v>
      </c>
      <c r="N18" s="336">
        <v>46113</v>
      </c>
      <c r="O18" s="70">
        <v>46477</v>
      </c>
      <c r="P18" s="67">
        <v>310</v>
      </c>
      <c r="Q18" s="67">
        <v>70</v>
      </c>
      <c r="R18" s="341"/>
      <c r="S18" s="331">
        <f t="shared" si="3"/>
        <v>0</v>
      </c>
      <c r="T18" s="337">
        <f>SUM(U18/5)</f>
        <v>497.77777777777771</v>
      </c>
      <c r="U18" s="60">
        <f>SUM(V18/4.5)</f>
        <v>2488.8888888888887</v>
      </c>
      <c r="V18" s="54">
        <v>11200</v>
      </c>
      <c r="W18" s="353"/>
      <c r="X18" s="29"/>
      <c r="Y18" s="29">
        <v>5600</v>
      </c>
      <c r="Z18" s="29"/>
      <c r="AA18" s="29">
        <v>5600</v>
      </c>
      <c r="AB18" s="29"/>
      <c r="AC18" s="29"/>
      <c r="AD18" s="29"/>
      <c r="AE18" s="29"/>
      <c r="AF18" s="352"/>
      <c r="AG18" s="29"/>
      <c r="AH18" s="29">
        <v>5600</v>
      </c>
      <c r="AI18" s="29"/>
      <c r="AJ18" s="29">
        <v>5600</v>
      </c>
      <c r="AK18" s="29"/>
      <c r="AL18" s="29"/>
      <c r="AM18" s="29"/>
      <c r="AN18" s="29"/>
      <c r="AO18" s="352"/>
      <c r="AP18" s="29"/>
      <c r="AQ18" s="29">
        <v>5600</v>
      </c>
      <c r="AR18" s="29"/>
      <c r="AS18" s="29">
        <v>5600</v>
      </c>
      <c r="AT18" s="29"/>
      <c r="AU18" s="29"/>
      <c r="AV18" s="29"/>
      <c r="AW18" s="29"/>
    </row>
    <row r="19" spans="1:49" x14ac:dyDescent="0.2">
      <c r="A19" s="3" t="s">
        <v>27</v>
      </c>
      <c r="B19" s="4" t="s">
        <v>223</v>
      </c>
      <c r="C19" s="66" t="s">
        <v>32</v>
      </c>
      <c r="D19" s="4" t="s">
        <v>70</v>
      </c>
      <c r="E19" s="14">
        <v>86400</v>
      </c>
      <c r="F19" s="7">
        <v>44</v>
      </c>
      <c r="G19" s="4" t="s">
        <v>71</v>
      </c>
      <c r="H19" s="4" t="s">
        <v>42</v>
      </c>
      <c r="I19" s="5" t="s">
        <v>72</v>
      </c>
      <c r="J19" s="4" t="s">
        <v>36</v>
      </c>
      <c r="K19" s="4" t="s">
        <v>73</v>
      </c>
      <c r="L19" s="4" t="s">
        <v>74</v>
      </c>
      <c r="M19" s="4"/>
      <c r="N19" s="15">
        <v>45964</v>
      </c>
      <c r="O19" s="9">
        <v>46326</v>
      </c>
      <c r="P19" s="16"/>
      <c r="Q19" s="16"/>
      <c r="R19" s="341"/>
      <c r="S19" s="331" t="e">
        <f t="shared" si="3"/>
        <v>#DIV/0!</v>
      </c>
      <c r="T19" s="6">
        <f t="shared" ref="T19:T20" si="4">SUM(U19/5)</f>
        <v>320</v>
      </c>
      <c r="U19" s="10">
        <f t="shared" ref="U19:U20" si="5">SUM(V19/4.5)</f>
        <v>1600</v>
      </c>
      <c r="V19" s="11">
        <v>7200</v>
      </c>
      <c r="X19" s="29"/>
      <c r="Y19" s="29"/>
      <c r="Z19" s="29"/>
      <c r="AA19" s="29"/>
      <c r="AB19" s="29"/>
      <c r="AC19" s="29"/>
      <c r="AD19" s="29">
        <v>7200</v>
      </c>
      <c r="AE19" s="29"/>
      <c r="AF19" s="350"/>
      <c r="AG19" s="29"/>
      <c r="AH19" s="29"/>
      <c r="AI19" s="29"/>
      <c r="AJ19" s="29"/>
      <c r="AK19" s="29"/>
      <c r="AL19" s="29"/>
      <c r="AM19" s="29">
        <v>7200</v>
      </c>
      <c r="AN19" s="29"/>
      <c r="AO19" s="350"/>
      <c r="AP19" s="29"/>
      <c r="AQ19" s="29"/>
      <c r="AR19" s="29"/>
      <c r="AS19" s="29"/>
      <c r="AT19" s="29"/>
      <c r="AU19" s="29"/>
      <c r="AV19" s="29">
        <v>7200</v>
      </c>
      <c r="AW19" s="29"/>
    </row>
    <row r="20" spans="1:49" x14ac:dyDescent="0.2">
      <c r="A20" s="3" t="s">
        <v>27</v>
      </c>
      <c r="B20" s="4" t="s">
        <v>223</v>
      </c>
      <c r="C20" s="66" t="s">
        <v>32</v>
      </c>
      <c r="D20" s="4" t="s">
        <v>75</v>
      </c>
      <c r="E20" s="18">
        <v>100800</v>
      </c>
      <c r="F20" s="7">
        <v>47</v>
      </c>
      <c r="G20" s="4" t="s">
        <v>76</v>
      </c>
      <c r="H20" s="4" t="s">
        <v>42</v>
      </c>
      <c r="I20" s="4" t="s">
        <v>77</v>
      </c>
      <c r="J20" s="4" t="s">
        <v>36</v>
      </c>
      <c r="K20" s="4" t="s">
        <v>78</v>
      </c>
      <c r="L20" s="4" t="s">
        <v>25</v>
      </c>
      <c r="M20" s="4"/>
      <c r="N20" s="19">
        <v>45992</v>
      </c>
      <c r="O20" s="9">
        <v>47088</v>
      </c>
      <c r="P20" s="4"/>
      <c r="Q20" s="4"/>
      <c r="R20" s="341"/>
      <c r="S20" s="331" t="e">
        <f t="shared" si="3"/>
        <v>#DIV/0!</v>
      </c>
      <c r="T20" s="6">
        <f t="shared" si="4"/>
        <v>373.33333333333337</v>
      </c>
      <c r="U20" s="10">
        <f t="shared" si="5"/>
        <v>1866.6666666666667</v>
      </c>
      <c r="V20" s="20">
        <v>8400</v>
      </c>
      <c r="X20" s="29"/>
      <c r="Y20" s="29"/>
      <c r="Z20" s="29"/>
      <c r="AA20" s="29"/>
      <c r="AB20" s="29"/>
      <c r="AC20" s="29"/>
      <c r="AD20" s="29">
        <v>8400</v>
      </c>
      <c r="AE20" s="29"/>
      <c r="AF20" s="351"/>
      <c r="AG20" s="29"/>
      <c r="AH20" s="29"/>
      <c r="AI20" s="29"/>
      <c r="AJ20" s="29"/>
      <c r="AK20" s="29"/>
      <c r="AL20" s="29"/>
      <c r="AM20" s="29">
        <v>8400</v>
      </c>
      <c r="AN20" s="29"/>
      <c r="AO20" s="351"/>
      <c r="AP20" s="29"/>
      <c r="AQ20" s="29"/>
      <c r="AR20" s="29"/>
      <c r="AS20" s="29"/>
      <c r="AT20" s="29"/>
      <c r="AU20" s="29"/>
      <c r="AV20" s="29">
        <v>8400</v>
      </c>
      <c r="AW20" s="29"/>
    </row>
    <row r="21" spans="1:49" x14ac:dyDescent="0.2">
      <c r="A21" s="65" t="s">
        <v>86</v>
      </c>
      <c r="B21" s="65" t="s">
        <v>223</v>
      </c>
      <c r="C21" s="5" t="s">
        <v>32</v>
      </c>
      <c r="D21" s="37" t="s">
        <v>80</v>
      </c>
      <c r="E21" s="41">
        <v>150000</v>
      </c>
      <c r="F21" s="35">
        <v>9</v>
      </c>
      <c r="G21" s="37"/>
      <c r="H21" s="8" t="s">
        <v>87</v>
      </c>
      <c r="I21" s="30" t="s">
        <v>88</v>
      </c>
      <c r="J21" s="42" t="s">
        <v>89</v>
      </c>
      <c r="K21" s="43" t="s">
        <v>90</v>
      </c>
      <c r="L21" s="4" t="s">
        <v>26</v>
      </c>
      <c r="M21" s="4"/>
      <c r="N21" s="38">
        <v>46090</v>
      </c>
      <c r="O21" s="44"/>
      <c r="P21" s="37" t="s">
        <v>117</v>
      </c>
      <c r="Q21" s="37"/>
      <c r="R21" s="341"/>
      <c r="S21" s="331" t="e">
        <f t="shared" si="3"/>
        <v>#DIV/0!</v>
      </c>
      <c r="T21" s="45">
        <f>SUM(U21/5)</f>
        <v>533.33333333333326</v>
      </c>
      <c r="U21" s="45">
        <f>SUM(V21/4.5)</f>
        <v>2666.6666666666665</v>
      </c>
      <c r="V21" s="46">
        <v>12000</v>
      </c>
      <c r="W21" s="351"/>
      <c r="X21" s="29"/>
      <c r="Y21" s="29"/>
      <c r="Z21" s="29"/>
      <c r="AA21" s="29"/>
      <c r="AB21" s="29"/>
      <c r="AC21" s="29"/>
      <c r="AD21" s="29"/>
      <c r="AE21" s="29">
        <v>12000</v>
      </c>
      <c r="AF21" s="351"/>
      <c r="AG21" s="29"/>
      <c r="AH21" s="29"/>
      <c r="AI21" s="29"/>
      <c r="AJ21" s="29"/>
      <c r="AK21" s="29"/>
      <c r="AL21" s="29"/>
      <c r="AM21" s="29"/>
      <c r="AN21" s="29">
        <v>12000</v>
      </c>
      <c r="AO21" s="351"/>
      <c r="AP21" s="29"/>
      <c r="AQ21" s="29"/>
      <c r="AR21" s="29"/>
      <c r="AS21" s="29"/>
      <c r="AT21" s="29"/>
      <c r="AU21" s="29"/>
      <c r="AV21" s="29"/>
      <c r="AW21" s="29">
        <v>12000</v>
      </c>
    </row>
    <row r="22" spans="1:49" x14ac:dyDescent="0.2">
      <c r="A22" s="65"/>
      <c r="B22" s="65"/>
      <c r="C22" s="66"/>
      <c r="D22" s="67"/>
      <c r="E22" s="68"/>
      <c r="F22" s="67"/>
      <c r="G22" s="69"/>
      <c r="H22" s="65"/>
      <c r="I22" s="67"/>
      <c r="J22" s="69"/>
      <c r="K22" s="69"/>
      <c r="L22" s="65"/>
      <c r="M22" s="65"/>
      <c r="N22" s="67"/>
      <c r="O22" s="70"/>
      <c r="P22" s="69"/>
      <c r="Q22" s="67"/>
      <c r="R22" s="67"/>
      <c r="S22" s="67"/>
      <c r="T22" s="71"/>
      <c r="U22" s="71"/>
      <c r="V22" s="72"/>
      <c r="W22" s="351"/>
      <c r="X22" s="29"/>
      <c r="Y22" s="29"/>
      <c r="Z22" s="29"/>
      <c r="AA22" s="29"/>
      <c r="AB22" s="29"/>
      <c r="AC22" s="29"/>
      <c r="AD22" s="29"/>
      <c r="AE22" s="29"/>
      <c r="AF22" s="351"/>
      <c r="AG22" s="29"/>
      <c r="AH22" s="29"/>
      <c r="AI22" s="29"/>
      <c r="AJ22" s="29"/>
      <c r="AK22" s="29"/>
      <c r="AL22" s="29"/>
      <c r="AM22" s="29"/>
      <c r="AN22" s="29"/>
      <c r="AO22" s="351"/>
      <c r="AP22" s="29"/>
      <c r="AQ22" s="29"/>
      <c r="AR22" s="29"/>
      <c r="AS22" s="29"/>
      <c r="AT22" s="29"/>
      <c r="AU22" s="29"/>
      <c r="AV22" s="29"/>
      <c r="AW22" s="29"/>
    </row>
    <row r="23" spans="1:49" x14ac:dyDescent="0.2">
      <c r="A23" s="65"/>
      <c r="B23" s="65"/>
      <c r="C23" s="66"/>
      <c r="D23" s="67"/>
      <c r="E23" s="68"/>
      <c r="F23" s="67"/>
      <c r="G23" s="69"/>
      <c r="H23" s="65"/>
      <c r="I23" s="67"/>
      <c r="J23" s="69"/>
      <c r="K23" s="69"/>
      <c r="L23" s="65"/>
      <c r="M23" s="65"/>
      <c r="N23" s="67"/>
      <c r="O23" s="70"/>
      <c r="P23" s="69"/>
      <c r="Q23" s="67"/>
      <c r="R23" s="67"/>
      <c r="S23" s="67"/>
      <c r="T23" s="71"/>
      <c r="U23" s="71"/>
      <c r="V23" s="72"/>
      <c r="W23" s="351"/>
      <c r="X23" s="29"/>
      <c r="Y23" s="29"/>
      <c r="Z23" s="29"/>
      <c r="AA23" s="29"/>
      <c r="AB23" s="29"/>
      <c r="AC23" s="29"/>
      <c r="AD23" s="29"/>
      <c r="AE23" s="29"/>
      <c r="AF23" s="351"/>
      <c r="AG23" s="29"/>
      <c r="AH23" s="29"/>
      <c r="AI23" s="29"/>
      <c r="AJ23" s="29"/>
      <c r="AK23" s="29"/>
      <c r="AL23" s="29"/>
      <c r="AM23" s="29"/>
      <c r="AN23" s="29"/>
      <c r="AO23" s="351"/>
      <c r="AP23" s="29"/>
      <c r="AQ23" s="29"/>
      <c r="AR23" s="29"/>
      <c r="AS23" s="29"/>
      <c r="AT23" s="29"/>
      <c r="AU23" s="29"/>
      <c r="AV23" s="29"/>
      <c r="AW23" s="29"/>
    </row>
    <row r="24" spans="1:49" x14ac:dyDescent="0.2">
      <c r="A24" s="65"/>
      <c r="B24" s="65"/>
      <c r="C24" s="66"/>
      <c r="D24" s="67"/>
      <c r="E24" s="68"/>
      <c r="F24" s="67"/>
      <c r="G24" s="69"/>
      <c r="H24" s="65"/>
      <c r="I24" s="67"/>
      <c r="J24" s="69"/>
      <c r="K24" s="69"/>
      <c r="L24" s="65"/>
      <c r="M24" s="65"/>
      <c r="N24" s="67"/>
      <c r="O24" s="70"/>
      <c r="P24" s="69"/>
      <c r="Q24" s="67"/>
      <c r="R24" s="67"/>
      <c r="S24" s="67"/>
      <c r="T24" s="71"/>
      <c r="U24" s="71"/>
      <c r="V24" s="72"/>
      <c r="W24" s="351"/>
      <c r="X24" s="29"/>
      <c r="Y24" s="29"/>
      <c r="Z24" s="29"/>
      <c r="AA24" s="29"/>
      <c r="AB24" s="29"/>
      <c r="AC24" s="29"/>
      <c r="AD24" s="29"/>
      <c r="AE24" s="29"/>
      <c r="AF24" s="351"/>
      <c r="AG24" s="29"/>
      <c r="AH24" s="29"/>
      <c r="AI24" s="29"/>
      <c r="AJ24" s="29"/>
      <c r="AK24" s="29"/>
      <c r="AL24" s="29"/>
      <c r="AM24" s="29"/>
      <c r="AN24" s="29"/>
      <c r="AO24" s="351"/>
      <c r="AP24" s="29"/>
      <c r="AQ24" s="29"/>
      <c r="AR24" s="29"/>
      <c r="AS24" s="29"/>
      <c r="AT24" s="29"/>
      <c r="AU24" s="29"/>
      <c r="AV24" s="29"/>
      <c r="AW24" s="29"/>
    </row>
    <row r="25" spans="1:49" x14ac:dyDescent="0.2">
      <c r="A25" s="65"/>
      <c r="B25" s="65"/>
      <c r="C25" s="66"/>
      <c r="D25" s="67"/>
      <c r="E25" s="68"/>
      <c r="F25" s="67"/>
      <c r="G25" s="69"/>
      <c r="H25" s="65"/>
      <c r="I25" s="67"/>
      <c r="J25" s="69"/>
      <c r="K25" s="69"/>
      <c r="L25" s="65"/>
      <c r="M25" s="65"/>
      <c r="N25" s="67"/>
      <c r="O25" s="70"/>
      <c r="P25" s="69"/>
      <c r="Q25" s="67"/>
      <c r="R25" s="67"/>
      <c r="S25" s="67"/>
      <c r="T25" s="71"/>
      <c r="U25" s="71"/>
      <c r="V25" s="72"/>
      <c r="W25" s="351"/>
      <c r="X25" s="29"/>
      <c r="Y25" s="29"/>
      <c r="Z25" s="29"/>
      <c r="AA25" s="29"/>
      <c r="AB25" s="29"/>
      <c r="AC25" s="29"/>
      <c r="AD25" s="29"/>
      <c r="AE25" s="29"/>
      <c r="AF25" s="351"/>
      <c r="AG25" s="29"/>
      <c r="AH25" s="29"/>
      <c r="AI25" s="29"/>
      <c r="AJ25" s="29"/>
      <c r="AK25" s="29"/>
      <c r="AL25" s="29"/>
      <c r="AM25" s="29"/>
      <c r="AN25" s="29"/>
      <c r="AO25" s="351"/>
      <c r="AP25" s="29"/>
      <c r="AQ25" s="29"/>
      <c r="AR25" s="29"/>
      <c r="AS25" s="29"/>
      <c r="AT25" s="29"/>
      <c r="AU25" s="29"/>
      <c r="AV25" s="29"/>
      <c r="AW25" s="29"/>
    </row>
    <row r="26" spans="1:49" x14ac:dyDescent="0.2">
      <c r="A26" s="65"/>
      <c r="B26" s="65"/>
      <c r="C26" s="66"/>
      <c r="D26" s="67"/>
      <c r="E26" s="68"/>
      <c r="F26" s="67"/>
      <c r="G26" s="69"/>
      <c r="H26" s="65"/>
      <c r="I26" s="67"/>
      <c r="J26" s="69"/>
      <c r="K26" s="69"/>
      <c r="L26" s="65"/>
      <c r="M26" s="65"/>
      <c r="N26" s="67"/>
      <c r="O26" s="70"/>
      <c r="P26" s="69"/>
      <c r="Q26" s="67"/>
      <c r="R26" s="67"/>
      <c r="S26" s="67"/>
      <c r="T26" s="71"/>
      <c r="U26" s="71"/>
      <c r="V26" s="72"/>
      <c r="W26" s="351"/>
      <c r="X26" s="29"/>
      <c r="Y26" s="29"/>
      <c r="Z26" s="29"/>
      <c r="AA26" s="29"/>
      <c r="AB26" s="29"/>
      <c r="AC26" s="29"/>
      <c r="AD26" s="29"/>
      <c r="AE26" s="29"/>
      <c r="AF26" s="351"/>
      <c r="AG26" s="29"/>
      <c r="AH26" s="29"/>
      <c r="AI26" s="29"/>
      <c r="AJ26" s="29"/>
      <c r="AK26" s="29"/>
      <c r="AL26" s="29"/>
      <c r="AM26" s="29"/>
      <c r="AN26" s="29"/>
      <c r="AO26" s="351"/>
      <c r="AP26" s="29"/>
      <c r="AQ26" s="29"/>
      <c r="AR26" s="29"/>
      <c r="AS26" s="29"/>
      <c r="AT26" s="29"/>
      <c r="AU26" s="29"/>
      <c r="AV26" s="29"/>
      <c r="AW26" s="29"/>
    </row>
    <row r="27" spans="1:49" x14ac:dyDescent="0.2">
      <c r="A27" s="65"/>
      <c r="B27" s="65"/>
      <c r="C27" s="66"/>
      <c r="D27" s="67"/>
      <c r="E27" s="68"/>
      <c r="F27" s="67"/>
      <c r="G27" s="69"/>
      <c r="H27" s="65"/>
      <c r="I27" s="67"/>
      <c r="J27" s="69"/>
      <c r="K27" s="69"/>
      <c r="L27" s="65"/>
      <c r="M27" s="65"/>
      <c r="N27" s="67"/>
      <c r="O27" s="70"/>
      <c r="P27" s="69"/>
      <c r="Q27" s="67"/>
      <c r="R27" s="67"/>
      <c r="S27" s="67"/>
      <c r="T27" s="71"/>
      <c r="U27" s="71"/>
      <c r="V27" s="72"/>
      <c r="W27" s="351"/>
      <c r="X27" s="29"/>
      <c r="Y27" s="29"/>
      <c r="Z27" s="29"/>
      <c r="AA27" s="29"/>
      <c r="AB27" s="29"/>
      <c r="AC27" s="29"/>
      <c r="AD27" s="29"/>
      <c r="AE27" s="29"/>
      <c r="AF27" s="351"/>
      <c r="AG27" s="29"/>
      <c r="AH27" s="29"/>
      <c r="AI27" s="29"/>
      <c r="AJ27" s="29"/>
      <c r="AK27" s="29"/>
      <c r="AL27" s="29"/>
      <c r="AM27" s="29"/>
      <c r="AN27" s="29"/>
      <c r="AO27" s="351"/>
      <c r="AP27" s="29"/>
      <c r="AQ27" s="29"/>
      <c r="AR27" s="29"/>
      <c r="AS27" s="29"/>
      <c r="AT27" s="29"/>
      <c r="AU27" s="29"/>
      <c r="AV27" s="29"/>
      <c r="AW27" s="29"/>
    </row>
    <row r="28" spans="1:49" x14ac:dyDescent="0.2">
      <c r="A28" s="65"/>
      <c r="B28" s="65"/>
      <c r="C28" s="66"/>
      <c r="D28" s="67"/>
      <c r="E28" s="68"/>
      <c r="F28" s="67"/>
      <c r="G28" s="69"/>
      <c r="H28" s="65"/>
      <c r="I28" s="67"/>
      <c r="J28" s="69"/>
      <c r="K28" s="69"/>
      <c r="L28" s="65"/>
      <c r="M28" s="65"/>
      <c r="N28" s="67"/>
      <c r="O28" s="70"/>
      <c r="P28" s="69"/>
      <c r="Q28" s="67"/>
      <c r="R28" s="67"/>
      <c r="S28" s="67"/>
      <c r="T28" s="71"/>
      <c r="U28" s="71"/>
      <c r="V28" s="72"/>
      <c r="W28" s="351"/>
      <c r="X28" s="29"/>
      <c r="Y28" s="29"/>
      <c r="Z28" s="29"/>
      <c r="AA28" s="29"/>
      <c r="AB28" s="29"/>
      <c r="AC28" s="29"/>
      <c r="AD28" s="29"/>
      <c r="AE28" s="29"/>
      <c r="AF28" s="351"/>
      <c r="AG28" s="29"/>
      <c r="AH28" s="29"/>
      <c r="AI28" s="29"/>
      <c r="AJ28" s="29"/>
      <c r="AK28" s="29"/>
      <c r="AL28" s="29"/>
      <c r="AM28" s="29"/>
      <c r="AN28" s="29"/>
      <c r="AO28" s="351"/>
      <c r="AP28" s="29"/>
      <c r="AQ28" s="29"/>
      <c r="AR28" s="29"/>
      <c r="AS28" s="29"/>
      <c r="AT28" s="29"/>
      <c r="AU28" s="29"/>
      <c r="AV28" s="29"/>
      <c r="AW28" s="29"/>
    </row>
    <row r="29" spans="1:49" x14ac:dyDescent="0.2">
      <c r="A29" s="65"/>
      <c r="B29" s="65"/>
      <c r="C29" s="66"/>
      <c r="D29" s="67"/>
      <c r="E29" s="68"/>
      <c r="F29" s="67"/>
      <c r="G29" s="69"/>
      <c r="H29" s="65"/>
      <c r="I29" s="67"/>
      <c r="J29" s="69"/>
      <c r="K29" s="69"/>
      <c r="L29" s="65"/>
      <c r="M29" s="65"/>
      <c r="N29" s="67"/>
      <c r="O29" s="70"/>
      <c r="P29" s="69"/>
      <c r="Q29" s="67"/>
      <c r="R29" s="67"/>
      <c r="S29" s="67"/>
      <c r="T29" s="71"/>
      <c r="U29" s="71"/>
      <c r="V29" s="72"/>
      <c r="W29" s="351"/>
      <c r="X29" s="29"/>
      <c r="Y29" s="29"/>
      <c r="Z29" s="29"/>
      <c r="AA29" s="29"/>
      <c r="AB29" s="29"/>
      <c r="AC29" s="29"/>
      <c r="AD29" s="29"/>
      <c r="AE29" s="29"/>
      <c r="AF29" s="351"/>
      <c r="AG29" s="29"/>
      <c r="AH29" s="29"/>
      <c r="AI29" s="29"/>
      <c r="AJ29" s="29"/>
      <c r="AK29" s="29"/>
      <c r="AL29" s="29"/>
      <c r="AM29" s="29"/>
      <c r="AN29" s="29"/>
      <c r="AO29" s="351"/>
      <c r="AP29" s="29"/>
      <c r="AQ29" s="29"/>
      <c r="AR29" s="29"/>
      <c r="AS29" s="29"/>
      <c r="AT29" s="29"/>
      <c r="AU29" s="29"/>
      <c r="AV29" s="29"/>
      <c r="AW29" s="29"/>
    </row>
    <row r="30" spans="1:49" x14ac:dyDescent="0.2">
      <c r="A30" s="65"/>
      <c r="B30" s="65"/>
      <c r="C30" s="66"/>
      <c r="D30" s="67"/>
      <c r="E30" s="68"/>
      <c r="F30" s="67"/>
      <c r="G30" s="69"/>
      <c r="H30" s="65"/>
      <c r="I30" s="67"/>
      <c r="J30" s="69"/>
      <c r="K30" s="69"/>
      <c r="L30" s="65"/>
      <c r="M30" s="65"/>
      <c r="N30" s="67"/>
      <c r="O30" s="70"/>
      <c r="P30" s="69"/>
      <c r="Q30" s="67"/>
      <c r="R30" s="67"/>
      <c r="S30" s="67"/>
      <c r="T30" s="71"/>
      <c r="U30" s="71"/>
      <c r="V30" s="72"/>
      <c r="W30" s="351"/>
      <c r="X30" s="29"/>
      <c r="Y30" s="29"/>
      <c r="Z30" s="29"/>
      <c r="AA30" s="29"/>
      <c r="AB30" s="29"/>
      <c r="AC30" s="29"/>
      <c r="AD30" s="29"/>
      <c r="AE30" s="29"/>
      <c r="AF30" s="351"/>
      <c r="AG30" s="29"/>
      <c r="AH30" s="29"/>
      <c r="AI30" s="29"/>
      <c r="AJ30" s="29"/>
      <c r="AK30" s="29"/>
      <c r="AL30" s="29"/>
      <c r="AM30" s="29"/>
      <c r="AN30" s="29"/>
      <c r="AO30" s="351"/>
      <c r="AP30" s="29"/>
      <c r="AQ30" s="29"/>
      <c r="AR30" s="29"/>
      <c r="AS30" s="29"/>
      <c r="AT30" s="29"/>
      <c r="AU30" s="29"/>
      <c r="AV30" s="29"/>
      <c r="AW30" s="29"/>
    </row>
    <row r="31" spans="1:49" x14ac:dyDescent="0.2">
      <c r="A31" s="65"/>
      <c r="B31" s="65"/>
      <c r="C31" s="66"/>
      <c r="D31" s="67"/>
      <c r="E31" s="68"/>
      <c r="F31" s="67"/>
      <c r="G31" s="69"/>
      <c r="H31" s="65"/>
      <c r="I31" s="67"/>
      <c r="J31" s="69"/>
      <c r="K31" s="69"/>
      <c r="L31" s="65"/>
      <c r="M31" s="65"/>
      <c r="N31" s="67"/>
      <c r="O31" s="70"/>
      <c r="P31" s="69"/>
      <c r="Q31" s="67"/>
      <c r="R31" s="67"/>
      <c r="S31" s="67"/>
      <c r="T31" s="71"/>
      <c r="U31" s="71"/>
      <c r="V31" s="72"/>
      <c r="W31" s="351"/>
      <c r="X31" s="29"/>
      <c r="Y31" s="29"/>
      <c r="Z31" s="29"/>
      <c r="AA31" s="29"/>
      <c r="AB31" s="29"/>
      <c r="AC31" s="29"/>
      <c r="AD31" s="29"/>
      <c r="AE31" s="29"/>
      <c r="AF31" s="351"/>
      <c r="AG31" s="29"/>
      <c r="AH31" s="29"/>
      <c r="AI31" s="29"/>
      <c r="AJ31" s="29"/>
      <c r="AK31" s="29"/>
      <c r="AL31" s="29"/>
      <c r="AM31" s="29"/>
      <c r="AN31" s="29"/>
      <c r="AO31" s="351"/>
      <c r="AP31" s="29"/>
      <c r="AQ31" s="29"/>
      <c r="AR31" s="29"/>
      <c r="AS31" s="29"/>
      <c r="AT31" s="29"/>
      <c r="AU31" s="29"/>
      <c r="AV31" s="29"/>
      <c r="AW31" s="29"/>
    </row>
    <row r="32" spans="1:49" x14ac:dyDescent="0.2">
      <c r="A32" s="65"/>
      <c r="B32" s="65"/>
      <c r="C32" s="66"/>
      <c r="D32" s="65"/>
      <c r="E32" s="68"/>
      <c r="F32" s="67"/>
      <c r="G32" s="65"/>
      <c r="H32" s="65"/>
      <c r="I32" s="73"/>
      <c r="J32" s="74"/>
      <c r="K32" s="69"/>
      <c r="L32" s="65"/>
      <c r="M32" s="65"/>
      <c r="N32" s="67"/>
      <c r="O32" s="70"/>
      <c r="P32" s="69"/>
      <c r="Q32" s="67"/>
      <c r="R32" s="67"/>
      <c r="S32" s="67"/>
      <c r="T32" s="71"/>
      <c r="U32" s="71"/>
      <c r="V32" s="72"/>
      <c r="W32" s="352"/>
      <c r="X32" s="75"/>
      <c r="Y32" s="75"/>
      <c r="Z32" s="75"/>
      <c r="AA32" s="75"/>
      <c r="AB32" s="75"/>
      <c r="AC32" s="75"/>
      <c r="AD32" s="75"/>
      <c r="AE32" s="75"/>
      <c r="AF32" s="352"/>
      <c r="AG32" s="75"/>
      <c r="AH32" s="75"/>
      <c r="AI32" s="75"/>
      <c r="AJ32" s="75"/>
      <c r="AK32" s="75"/>
      <c r="AL32" s="75"/>
      <c r="AM32" s="75"/>
      <c r="AN32" s="75"/>
      <c r="AO32" s="352"/>
      <c r="AP32" s="75"/>
      <c r="AQ32" s="75"/>
      <c r="AR32" s="75"/>
      <c r="AS32" s="75"/>
      <c r="AT32" s="75"/>
      <c r="AU32" s="75"/>
      <c r="AV32" s="75"/>
      <c r="AW32" s="75"/>
    </row>
    <row r="33" spans="1:112" x14ac:dyDescent="0.2">
      <c r="A33" s="65"/>
      <c r="B33" s="65"/>
      <c r="C33" s="66"/>
      <c r="D33" s="65"/>
      <c r="E33" s="68"/>
      <c r="F33" s="67"/>
      <c r="G33" s="65"/>
      <c r="H33" s="65"/>
      <c r="I33" s="73"/>
      <c r="J33" s="74"/>
      <c r="K33" s="69"/>
      <c r="L33" s="65"/>
      <c r="M33" s="65"/>
      <c r="N33" s="67"/>
      <c r="O33" s="70"/>
      <c r="P33" s="69"/>
      <c r="Q33" s="67"/>
      <c r="R33" s="67"/>
      <c r="S33" s="67"/>
      <c r="T33" s="71"/>
      <c r="U33" s="71"/>
      <c r="V33" s="72"/>
      <c r="W33" s="355"/>
      <c r="X33" s="29"/>
      <c r="Y33" s="29"/>
      <c r="Z33" s="29"/>
      <c r="AA33" s="29"/>
      <c r="AB33" s="29"/>
      <c r="AC33" s="29"/>
      <c r="AD33" s="29"/>
      <c r="AE33" s="29"/>
      <c r="AF33" s="355"/>
      <c r="AG33" s="29"/>
      <c r="AH33" s="29"/>
      <c r="AI33" s="29"/>
      <c r="AJ33" s="29"/>
      <c r="AK33" s="29"/>
      <c r="AL33" s="29"/>
      <c r="AM33" s="29"/>
      <c r="AN33" s="29"/>
      <c r="AO33" s="355"/>
      <c r="AP33" s="29"/>
      <c r="AQ33" s="29"/>
      <c r="AR33" s="29"/>
      <c r="AS33" s="29"/>
      <c r="AT33" s="29"/>
      <c r="AU33" s="29"/>
      <c r="AV33" s="29"/>
      <c r="AW33" s="29"/>
    </row>
    <row r="34" spans="1:112" x14ac:dyDescent="0.2">
      <c r="A34" s="65"/>
      <c r="B34" s="65"/>
      <c r="C34" s="66"/>
      <c r="D34" s="65"/>
      <c r="E34" s="68"/>
      <c r="F34" s="67"/>
      <c r="G34" s="65"/>
      <c r="H34" s="65"/>
      <c r="I34" s="73"/>
      <c r="J34" s="74"/>
      <c r="K34" s="69"/>
      <c r="L34" s="65"/>
      <c r="M34" s="65"/>
      <c r="N34" s="67"/>
      <c r="O34" s="70"/>
      <c r="P34" s="69"/>
      <c r="Q34" s="67"/>
      <c r="R34" s="67"/>
      <c r="S34" s="67"/>
      <c r="T34" s="71"/>
      <c r="U34" s="71"/>
      <c r="V34" s="72"/>
      <c r="W34" s="355"/>
      <c r="X34" s="29"/>
      <c r="Y34" s="29"/>
      <c r="Z34" s="29"/>
      <c r="AA34" s="29"/>
      <c r="AB34" s="29"/>
      <c r="AC34" s="29"/>
      <c r="AD34" s="29"/>
      <c r="AE34" s="29"/>
      <c r="AF34" s="355"/>
      <c r="AG34" s="29"/>
      <c r="AH34" s="29"/>
      <c r="AI34" s="29"/>
      <c r="AJ34" s="29"/>
      <c r="AK34" s="29"/>
      <c r="AL34" s="29"/>
      <c r="AM34" s="29"/>
      <c r="AN34" s="29"/>
      <c r="AO34" s="355"/>
      <c r="AP34" s="29"/>
      <c r="AQ34" s="29"/>
      <c r="AR34" s="29"/>
      <c r="AS34" s="29"/>
      <c r="AT34" s="29"/>
      <c r="AU34" s="29"/>
      <c r="AV34" s="29"/>
      <c r="AW34" s="29"/>
    </row>
    <row r="35" spans="1:112" x14ac:dyDescent="0.2">
      <c r="A35" s="65"/>
      <c r="B35" s="65"/>
      <c r="C35" s="66"/>
      <c r="D35" s="65"/>
      <c r="E35" s="68"/>
      <c r="F35" s="67"/>
      <c r="G35" s="65"/>
      <c r="H35" s="65"/>
      <c r="I35" s="73"/>
      <c r="J35" s="74"/>
      <c r="K35" s="69"/>
      <c r="L35" s="65"/>
      <c r="M35" s="65"/>
      <c r="N35" s="67"/>
      <c r="O35" s="70"/>
      <c r="P35" s="69"/>
      <c r="Q35" s="67"/>
      <c r="R35" s="67"/>
      <c r="S35" s="67"/>
      <c r="T35" s="71"/>
      <c r="U35" s="71"/>
      <c r="V35" s="72"/>
      <c r="W35" s="355"/>
      <c r="X35" s="29"/>
      <c r="Y35" s="29"/>
      <c r="Z35" s="29"/>
      <c r="AA35" s="29"/>
      <c r="AB35" s="29"/>
      <c r="AC35" s="29"/>
      <c r="AD35" s="29"/>
      <c r="AE35" s="29"/>
      <c r="AF35" s="355"/>
      <c r="AG35" s="29"/>
      <c r="AH35" s="29"/>
      <c r="AI35" s="29"/>
      <c r="AJ35" s="29"/>
      <c r="AK35" s="29"/>
      <c r="AL35" s="29"/>
      <c r="AM35" s="29"/>
      <c r="AN35" s="29"/>
      <c r="AO35" s="355"/>
      <c r="AP35" s="29"/>
      <c r="AQ35" s="29"/>
      <c r="AR35" s="29"/>
      <c r="AS35" s="29"/>
      <c r="AT35" s="29"/>
      <c r="AU35" s="29"/>
      <c r="AV35" s="29"/>
      <c r="AW35" s="29"/>
    </row>
    <row r="36" spans="1:112" x14ac:dyDescent="0.2">
      <c r="A36" s="65"/>
      <c r="B36" s="65"/>
      <c r="C36" s="66"/>
      <c r="D36" s="65"/>
      <c r="E36" s="68"/>
      <c r="F36" s="67"/>
      <c r="G36" s="65"/>
      <c r="H36" s="65"/>
      <c r="I36" s="73"/>
      <c r="J36" s="74"/>
      <c r="K36" s="69"/>
      <c r="L36" s="65"/>
      <c r="M36" s="65"/>
      <c r="N36" s="67"/>
      <c r="O36" s="70"/>
      <c r="P36" s="69"/>
      <c r="Q36" s="67"/>
      <c r="R36" s="67"/>
      <c r="S36" s="67"/>
      <c r="T36" s="71"/>
      <c r="U36" s="71"/>
      <c r="V36" s="72"/>
      <c r="W36" s="355"/>
      <c r="X36" s="29"/>
      <c r="Y36" s="29"/>
      <c r="Z36" s="29"/>
      <c r="AA36" s="29"/>
      <c r="AB36" s="29"/>
      <c r="AC36" s="29"/>
      <c r="AD36" s="29"/>
      <c r="AE36" s="29"/>
      <c r="AF36" s="355"/>
      <c r="AG36" s="29"/>
      <c r="AH36" s="29"/>
      <c r="AI36" s="29"/>
      <c r="AJ36" s="29"/>
      <c r="AK36" s="29"/>
      <c r="AL36" s="29"/>
      <c r="AM36" s="29"/>
      <c r="AN36" s="29"/>
      <c r="AO36" s="355"/>
      <c r="AP36" s="29"/>
      <c r="AQ36" s="29"/>
      <c r="AR36" s="29"/>
      <c r="AS36" s="29"/>
      <c r="AT36" s="29"/>
      <c r="AU36" s="29"/>
      <c r="AV36" s="29"/>
      <c r="AW36" s="29"/>
    </row>
    <row r="37" spans="1:112" x14ac:dyDescent="0.2">
      <c r="A37" s="65"/>
      <c r="B37" s="65"/>
      <c r="C37" s="66"/>
      <c r="D37" s="65"/>
      <c r="E37" s="68"/>
      <c r="F37" s="67"/>
      <c r="G37" s="65"/>
      <c r="H37" s="65"/>
      <c r="I37" s="73"/>
      <c r="J37" s="74"/>
      <c r="K37" s="69"/>
      <c r="L37" s="65"/>
      <c r="M37" s="65"/>
      <c r="N37" s="67"/>
      <c r="O37" s="70"/>
      <c r="P37" s="69"/>
      <c r="Q37" s="67"/>
      <c r="R37" s="67"/>
      <c r="S37" s="67"/>
      <c r="T37" s="71"/>
      <c r="U37" s="71"/>
      <c r="V37" s="72"/>
      <c r="W37" s="355"/>
      <c r="X37" s="29"/>
      <c r="Y37" s="29"/>
      <c r="Z37" s="29"/>
      <c r="AA37" s="29"/>
      <c r="AB37" s="29"/>
      <c r="AC37" s="29"/>
      <c r="AD37" s="29"/>
      <c r="AE37" s="29"/>
      <c r="AF37" s="355"/>
      <c r="AG37" s="29"/>
      <c r="AH37" s="29"/>
      <c r="AI37" s="29"/>
      <c r="AJ37" s="29"/>
      <c r="AK37" s="29"/>
      <c r="AL37" s="29"/>
      <c r="AM37" s="29"/>
      <c r="AN37" s="29"/>
      <c r="AO37" s="355"/>
      <c r="AP37" s="29"/>
      <c r="AQ37" s="29"/>
      <c r="AR37" s="29"/>
      <c r="AS37" s="29"/>
      <c r="AT37" s="29"/>
      <c r="AU37" s="29"/>
      <c r="AV37" s="29"/>
      <c r="AW37" s="29"/>
    </row>
    <row r="38" spans="1:112" x14ac:dyDescent="0.2">
      <c r="A38" s="65"/>
      <c r="B38" s="65"/>
      <c r="C38" s="66"/>
      <c r="D38" s="65"/>
      <c r="E38" s="68"/>
      <c r="F38" s="67"/>
      <c r="G38" s="65"/>
      <c r="H38" s="65"/>
      <c r="I38" s="73"/>
      <c r="J38" s="74"/>
      <c r="K38" s="69"/>
      <c r="L38" s="65"/>
      <c r="M38" s="65"/>
      <c r="N38" s="67"/>
      <c r="O38" s="70"/>
      <c r="P38" s="69"/>
      <c r="Q38" s="67"/>
      <c r="R38" s="67"/>
      <c r="S38" s="67"/>
      <c r="T38" s="71"/>
      <c r="U38" s="71"/>
      <c r="V38" s="72"/>
      <c r="W38" s="355"/>
      <c r="X38" s="29"/>
      <c r="Y38" s="29"/>
      <c r="Z38" s="29"/>
      <c r="AA38" s="29"/>
      <c r="AB38" s="29"/>
      <c r="AC38" s="29"/>
      <c r="AD38" s="29"/>
      <c r="AE38" s="29"/>
      <c r="AF38" s="355"/>
      <c r="AG38" s="29"/>
      <c r="AH38" s="29"/>
      <c r="AI38" s="29"/>
      <c r="AJ38" s="29"/>
      <c r="AK38" s="29"/>
      <c r="AL38" s="29"/>
      <c r="AM38" s="29"/>
      <c r="AN38" s="29"/>
      <c r="AO38" s="355"/>
      <c r="AP38" s="29"/>
      <c r="AQ38" s="29"/>
      <c r="AR38" s="29"/>
      <c r="AS38" s="29"/>
      <c r="AT38" s="29"/>
      <c r="AU38" s="29"/>
      <c r="AV38" s="29"/>
      <c r="AW38" s="29"/>
    </row>
    <row r="39" spans="1:112" x14ac:dyDescent="0.2">
      <c r="A39" s="76"/>
      <c r="B39" s="76"/>
      <c r="C39" s="76"/>
      <c r="D39" s="47"/>
      <c r="E39" s="77"/>
      <c r="F39" s="47"/>
      <c r="G39" s="28"/>
      <c r="H39" s="28"/>
      <c r="I39" s="28"/>
      <c r="J39" s="28"/>
      <c r="K39" s="28"/>
      <c r="L39" s="28"/>
      <c r="M39" s="28"/>
      <c r="N39" s="47"/>
      <c r="O39" s="78"/>
      <c r="P39" s="28"/>
      <c r="Q39" s="47"/>
      <c r="R39" s="47"/>
      <c r="S39" s="47"/>
      <c r="T39" s="48"/>
      <c r="U39" s="48"/>
      <c r="V39" s="29"/>
      <c r="W39" s="355"/>
      <c r="X39" s="29"/>
      <c r="Y39" s="29"/>
      <c r="Z39" s="29"/>
      <c r="AA39" s="29"/>
      <c r="AB39" s="29"/>
      <c r="AC39" s="29"/>
      <c r="AD39" s="29"/>
      <c r="AE39" s="29"/>
      <c r="AF39" s="355"/>
      <c r="AG39" s="29"/>
      <c r="AH39" s="29"/>
      <c r="AI39" s="29"/>
      <c r="AJ39" s="29"/>
      <c r="AK39" s="29"/>
      <c r="AL39" s="29"/>
      <c r="AM39" s="29"/>
      <c r="AN39" s="29"/>
      <c r="AO39" s="355"/>
      <c r="AP39" s="29"/>
      <c r="AQ39" s="29"/>
      <c r="AR39" s="29"/>
      <c r="AS39" s="29"/>
      <c r="AT39" s="29"/>
      <c r="AU39" s="29"/>
      <c r="AV39" s="29"/>
      <c r="AW39" s="29"/>
    </row>
    <row r="40" spans="1:112" x14ac:dyDescent="0.2">
      <c r="A40" s="76"/>
      <c r="B40" s="76"/>
      <c r="C40" s="76"/>
      <c r="D40" s="47"/>
      <c r="E40" s="77"/>
      <c r="F40" s="47"/>
      <c r="G40" s="28"/>
      <c r="H40" s="28"/>
      <c r="I40" s="28"/>
      <c r="J40" s="28"/>
      <c r="K40" s="28"/>
      <c r="L40" s="28"/>
      <c r="M40" s="28"/>
      <c r="N40" s="47"/>
      <c r="O40" s="78"/>
      <c r="P40" s="28"/>
      <c r="Q40" s="47"/>
      <c r="R40" s="47"/>
      <c r="S40" s="47"/>
      <c r="T40" s="48"/>
      <c r="U40" s="48"/>
      <c r="V40" s="29"/>
      <c r="W40" s="355"/>
      <c r="X40" s="29"/>
      <c r="Y40" s="29"/>
      <c r="Z40" s="29"/>
      <c r="AA40" s="29"/>
      <c r="AB40" s="29"/>
      <c r="AC40" s="29"/>
      <c r="AD40" s="29"/>
      <c r="AE40" s="29"/>
      <c r="AF40" s="355"/>
      <c r="AG40" s="29"/>
      <c r="AH40" s="29"/>
      <c r="AI40" s="29"/>
      <c r="AJ40" s="29"/>
      <c r="AK40" s="29"/>
      <c r="AL40" s="29"/>
      <c r="AM40" s="29"/>
      <c r="AN40" s="29"/>
      <c r="AO40" s="355"/>
      <c r="AP40" s="29"/>
      <c r="AQ40" s="29"/>
      <c r="AR40" s="29"/>
      <c r="AS40" s="29"/>
      <c r="AT40" s="29"/>
      <c r="AU40" s="29"/>
      <c r="AV40" s="29"/>
      <c r="AW40" s="29"/>
    </row>
    <row r="41" spans="1:112" s="13" customFormat="1" ht="8" customHeight="1" x14ac:dyDescent="0.2">
      <c r="A41" s="365"/>
      <c r="B41" s="365"/>
      <c r="C41" s="365"/>
      <c r="D41" s="366"/>
      <c r="E41" s="367"/>
      <c r="F41" s="366"/>
      <c r="G41" s="368"/>
      <c r="H41" s="368"/>
      <c r="I41" s="368"/>
      <c r="J41" s="368"/>
      <c r="K41" s="368"/>
      <c r="L41" s="368"/>
      <c r="M41" s="368"/>
      <c r="N41" s="366"/>
      <c r="O41" s="369"/>
      <c r="P41" s="368"/>
      <c r="Q41" s="366"/>
      <c r="R41" s="366"/>
      <c r="S41" s="366"/>
      <c r="T41" s="370"/>
      <c r="U41" s="370"/>
      <c r="V41" s="371"/>
      <c r="W41" s="372"/>
      <c r="X41" s="371"/>
      <c r="Y41" s="371"/>
      <c r="Z41" s="371"/>
      <c r="AA41" s="371"/>
      <c r="AB41" s="371"/>
      <c r="AC41" s="371"/>
      <c r="AD41" s="371"/>
      <c r="AE41" s="371"/>
      <c r="AF41" s="372"/>
      <c r="AG41" s="371"/>
      <c r="AH41" s="371"/>
      <c r="AI41" s="371"/>
      <c r="AJ41" s="371"/>
      <c r="AK41" s="371"/>
      <c r="AL41" s="371"/>
      <c r="AM41" s="371"/>
      <c r="AN41" s="371"/>
      <c r="AO41" s="372"/>
      <c r="AP41" s="371"/>
      <c r="AQ41" s="371"/>
      <c r="AR41" s="371"/>
      <c r="AS41" s="371"/>
      <c r="AT41" s="371"/>
      <c r="AU41" s="371"/>
      <c r="AV41" s="371"/>
      <c r="AW41" s="371"/>
    </row>
    <row r="42" spans="1:112" s="374" customFormat="1" ht="34" customHeight="1" thickBot="1" x14ac:dyDescent="0.25">
      <c r="A42" s="373">
        <f>SUM(X2:X41)</f>
        <v>29200</v>
      </c>
      <c r="B42" s="373"/>
      <c r="C42" s="373"/>
      <c r="D42" s="373"/>
      <c r="E42" s="373"/>
      <c r="F42" s="373"/>
      <c r="G42" s="373"/>
      <c r="H42" s="373"/>
      <c r="I42" s="373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  <c r="U42" s="373"/>
      <c r="V42" s="373"/>
      <c r="W42" s="373"/>
      <c r="X42" s="373">
        <f>SUM(X2:X40)</f>
        <v>29200</v>
      </c>
      <c r="Y42" s="373">
        <f>SUM(Y2:Y40)</f>
        <v>96880</v>
      </c>
      <c r="Z42" s="373">
        <f>SUM(Z2:Z40)</f>
        <v>46880</v>
      </c>
      <c r="AA42" s="373">
        <f>SUM(AA2:AA40)</f>
        <v>20800</v>
      </c>
      <c r="AB42" s="373">
        <f>SUM(AB2:AB40)</f>
        <v>74825</v>
      </c>
      <c r="AC42" s="373">
        <f>SUM(AC2:AC40)</f>
        <v>0</v>
      </c>
      <c r="AD42" s="373">
        <f>SUM(AD2:AD40)</f>
        <v>15600</v>
      </c>
      <c r="AE42" s="373">
        <f>SUM(AE2:AE40)</f>
        <v>12000</v>
      </c>
      <c r="AF42" s="373"/>
      <c r="AG42" s="373">
        <f>SUM(AG2:AG40)</f>
        <v>29200</v>
      </c>
      <c r="AH42" s="373">
        <f>SUM(AH2:AH40)</f>
        <v>96880</v>
      </c>
      <c r="AI42" s="373">
        <f>SUM(AI2:AI40)</f>
        <v>46880</v>
      </c>
      <c r="AJ42" s="373">
        <f>SUM(AJ2:AJ40)</f>
        <v>20800</v>
      </c>
      <c r="AK42" s="373">
        <f>SUM(AK2:AK40)</f>
        <v>74825</v>
      </c>
      <c r="AL42" s="373">
        <f>SUM(AL2:AL40)</f>
        <v>0</v>
      </c>
      <c r="AM42" s="373">
        <f>SUM(AM2:AM40)</f>
        <v>15600</v>
      </c>
      <c r="AN42" s="373">
        <f>SUM(AN2:AN40)</f>
        <v>12000</v>
      </c>
      <c r="AO42" s="373"/>
      <c r="AP42" s="373">
        <f>SUM(AP2:AP40)</f>
        <v>25200</v>
      </c>
      <c r="AQ42" s="373">
        <f>SUM(AQ2:AQ40)</f>
        <v>92880</v>
      </c>
      <c r="AR42" s="373">
        <f>SUM(AR2:AR40)</f>
        <v>46880</v>
      </c>
      <c r="AS42" s="373">
        <f>SUM(AS2:AS40)</f>
        <v>20800</v>
      </c>
      <c r="AT42" s="373">
        <f>SUM(AT2:AT40)</f>
        <v>74825</v>
      </c>
      <c r="AU42" s="373">
        <f>SUM(AU2:AU40)</f>
        <v>0</v>
      </c>
      <c r="AV42" s="373">
        <f>SUM(AV2:AV40)</f>
        <v>15600</v>
      </c>
      <c r="AW42" s="373">
        <f>SUM(AW2:AW40)</f>
        <v>12000</v>
      </c>
      <c r="AX42" s="373"/>
      <c r="AY42" s="373"/>
      <c r="AZ42" s="373"/>
      <c r="BA42" s="373"/>
      <c r="BB42" s="373"/>
      <c r="BC42" s="373"/>
      <c r="BD42" s="373"/>
      <c r="BE42" s="373"/>
      <c r="BF42" s="373"/>
      <c r="BG42" s="373"/>
      <c r="BH42" s="373"/>
      <c r="BI42" s="373"/>
      <c r="BJ42" s="373"/>
      <c r="BK42" s="373"/>
      <c r="BL42" s="373"/>
      <c r="BM42" s="373"/>
      <c r="BN42" s="373"/>
      <c r="BO42" s="373"/>
      <c r="BP42" s="373"/>
      <c r="BQ42" s="373"/>
      <c r="BR42" s="373"/>
      <c r="BS42" s="373"/>
      <c r="BT42" s="373"/>
      <c r="BU42" s="373"/>
      <c r="BV42" s="373"/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3"/>
      <c r="CV42" s="373"/>
      <c r="CW42" s="373"/>
      <c r="CX42" s="373"/>
      <c r="CY42" s="373"/>
      <c r="CZ42" s="373"/>
      <c r="DA42" s="373"/>
      <c r="DB42" s="373"/>
      <c r="DC42" s="373"/>
      <c r="DD42" s="373"/>
      <c r="DE42" s="373"/>
      <c r="DF42" s="373"/>
      <c r="DG42" s="373"/>
      <c r="DH42" s="373"/>
    </row>
    <row r="43" spans="1:112" s="87" customFormat="1" x14ac:dyDescent="0.2">
      <c r="A43" s="80"/>
      <c r="B43" s="80"/>
      <c r="C43" s="80"/>
      <c r="D43" s="81"/>
      <c r="E43" s="82"/>
      <c r="F43" s="81"/>
      <c r="G43" s="83"/>
      <c r="H43" s="83"/>
      <c r="I43" s="83"/>
      <c r="J43" s="83"/>
      <c r="K43" s="83"/>
      <c r="L43" s="83"/>
      <c r="M43" s="83"/>
      <c r="N43" s="81"/>
      <c r="O43" s="84"/>
      <c r="P43" s="83"/>
      <c r="Q43" s="81"/>
      <c r="R43" s="81"/>
      <c r="S43" s="81"/>
      <c r="T43" s="85"/>
      <c r="U43" s="85"/>
      <c r="V43" s="86"/>
      <c r="W43" s="356"/>
      <c r="X43" s="86"/>
      <c r="Y43" s="86"/>
      <c r="Z43" s="86"/>
      <c r="AA43" s="86"/>
      <c r="AB43" s="86"/>
      <c r="AC43" s="86"/>
      <c r="AD43" s="86"/>
      <c r="AE43" s="86"/>
      <c r="AF43" s="356"/>
      <c r="AG43" s="86"/>
      <c r="AH43" s="86"/>
      <c r="AI43" s="86"/>
      <c r="AJ43" s="86"/>
      <c r="AK43" s="86"/>
      <c r="AL43" s="86"/>
      <c r="AM43" s="86"/>
      <c r="AN43" s="86"/>
      <c r="AO43" s="356"/>
      <c r="AP43" s="86"/>
      <c r="AQ43" s="86"/>
      <c r="AR43" s="86"/>
      <c r="AS43" s="86"/>
      <c r="AT43" s="86"/>
      <c r="AU43" s="86"/>
      <c r="AV43" s="86"/>
      <c r="AW43" s="86"/>
      <c r="AX43" s="344"/>
      <c r="AY43" s="344"/>
      <c r="AZ43" s="344"/>
      <c r="BA43" s="344"/>
      <c r="BB43" s="344"/>
      <c r="BC43" s="344"/>
      <c r="BD43" s="344"/>
      <c r="BE43" s="344"/>
      <c r="BF43" s="344"/>
      <c r="BG43" s="344"/>
      <c r="BH43" s="344"/>
      <c r="BI43" s="344"/>
      <c r="BJ43" s="344"/>
      <c r="BK43" s="344"/>
      <c r="BL43" s="344"/>
      <c r="BM43" s="344"/>
      <c r="BN43" s="344"/>
      <c r="BO43" s="344"/>
      <c r="BP43" s="344"/>
      <c r="BQ43" s="344"/>
      <c r="BR43" s="344"/>
      <c r="BS43" s="344"/>
      <c r="BT43" s="344"/>
      <c r="BU43" s="344"/>
      <c r="BV43" s="344"/>
      <c r="BW43" s="344"/>
      <c r="BX43" s="344"/>
      <c r="BY43" s="344"/>
      <c r="BZ43" s="344"/>
      <c r="CA43" s="344"/>
      <c r="CB43" s="344"/>
      <c r="CC43" s="344"/>
      <c r="CD43" s="344"/>
      <c r="CE43" s="344"/>
      <c r="CF43" s="344"/>
      <c r="CG43" s="344"/>
      <c r="CH43" s="344"/>
      <c r="CI43" s="344"/>
      <c r="CJ43" s="344"/>
      <c r="CK43" s="344"/>
      <c r="CL43" s="344"/>
      <c r="CM43" s="344"/>
      <c r="CN43" s="344"/>
      <c r="CO43" s="344"/>
      <c r="CP43" s="344"/>
      <c r="CQ43" s="344"/>
      <c r="CR43" s="344"/>
      <c r="CS43" s="344"/>
      <c r="CT43" s="344"/>
      <c r="CU43" s="344"/>
      <c r="CV43" s="344"/>
      <c r="CW43" s="344"/>
      <c r="CX43" s="344"/>
      <c r="CY43" s="344"/>
      <c r="CZ43" s="344"/>
      <c r="DA43" s="344"/>
      <c r="DB43" s="344"/>
      <c r="DC43" s="344"/>
    </row>
    <row r="44" spans="1:112" x14ac:dyDescent="0.2">
      <c r="A44" s="115" t="s">
        <v>116</v>
      </c>
      <c r="B44" s="116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79"/>
      <c r="W44" s="357"/>
      <c r="X44" s="79"/>
      <c r="Y44" s="79"/>
      <c r="Z44" s="79"/>
      <c r="AA44" s="79"/>
      <c r="AB44" s="79"/>
      <c r="AC44" s="79"/>
      <c r="AD44" s="79"/>
      <c r="AE44" s="79"/>
      <c r="AF44" s="357"/>
      <c r="AG44" s="79"/>
      <c r="AH44" s="79"/>
      <c r="AI44" s="79"/>
      <c r="AJ44" s="79"/>
      <c r="AK44" s="79"/>
      <c r="AL44" s="79"/>
      <c r="AM44" s="79"/>
      <c r="AN44" s="79"/>
      <c r="AO44" s="357"/>
      <c r="AP44" s="79"/>
      <c r="AQ44" s="79"/>
      <c r="AR44" s="79"/>
      <c r="AS44" s="79"/>
      <c r="AT44" s="79"/>
      <c r="AU44" s="79"/>
      <c r="AV44" s="79"/>
      <c r="AW44" s="79"/>
    </row>
    <row r="45" spans="1:112" x14ac:dyDescent="0.2">
      <c r="A45" s="115" t="s">
        <v>117</v>
      </c>
      <c r="B45" s="116">
        <v>16.87</v>
      </c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</row>
    <row r="46" spans="1:112" x14ac:dyDescent="0.2">
      <c r="A46" s="115" t="s">
        <v>118</v>
      </c>
      <c r="B46" s="116">
        <v>22.46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</row>
    <row r="47" spans="1:112" x14ac:dyDescent="0.2">
      <c r="A47" s="118"/>
      <c r="B47" s="119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</row>
    <row r="48" spans="1:112" x14ac:dyDescent="0.2">
      <c r="A48" s="121"/>
      <c r="B48" s="121" t="s">
        <v>133</v>
      </c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</row>
    <row r="49" spans="1:21" x14ac:dyDescent="0.2">
      <c r="A49" s="138"/>
      <c r="B49" s="139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</row>
    <row r="50" spans="1:21" x14ac:dyDescent="0.2">
      <c r="A50" s="123" t="s">
        <v>117</v>
      </c>
      <c r="B50" s="115" t="s">
        <v>134</v>
      </c>
      <c r="C50" s="123" t="s">
        <v>97</v>
      </c>
      <c r="D50" s="123" t="s">
        <v>98</v>
      </c>
      <c r="E50" s="123" t="s">
        <v>99</v>
      </c>
      <c r="F50" s="123" t="s">
        <v>100</v>
      </c>
      <c r="G50" s="123" t="s">
        <v>101</v>
      </c>
      <c r="H50" s="123" t="s">
        <v>102</v>
      </c>
      <c r="I50" s="123" t="s">
        <v>103</v>
      </c>
      <c r="J50" s="123" t="s">
        <v>104</v>
      </c>
      <c r="K50" s="123" t="s">
        <v>105</v>
      </c>
      <c r="L50" s="123" t="s">
        <v>106</v>
      </c>
      <c r="M50" s="123" t="s">
        <v>107</v>
      </c>
      <c r="N50" s="123" t="s">
        <v>108</v>
      </c>
      <c r="O50" s="123" t="s">
        <v>110</v>
      </c>
      <c r="P50" s="123" t="s">
        <v>111</v>
      </c>
      <c r="Q50" s="123" t="s">
        <v>112</v>
      </c>
      <c r="R50" s="123" t="s">
        <v>113</v>
      </c>
      <c r="S50" s="123" t="s">
        <v>114</v>
      </c>
      <c r="T50" s="123" t="s">
        <v>115</v>
      </c>
      <c r="U50" s="123" t="s">
        <v>129</v>
      </c>
    </row>
    <row r="51" spans="1:21" x14ac:dyDescent="0.2">
      <c r="A51" s="123"/>
      <c r="B51" s="124" t="s">
        <v>119</v>
      </c>
      <c r="C51" s="125">
        <f>C84/$B$45</f>
        <v>1730.8832246591583</v>
      </c>
      <c r="D51" s="125">
        <f>D84/$B$45</f>
        <v>1730.8832246591583</v>
      </c>
      <c r="E51" s="125">
        <f>E84/$B$45</f>
        <v>1493.7759336099584</v>
      </c>
      <c r="F51" s="126"/>
      <c r="G51" s="126"/>
      <c r="H51" s="126"/>
      <c r="I51" s="126"/>
      <c r="J51" s="126"/>
      <c r="K51" s="126"/>
      <c r="L51" s="126"/>
      <c r="M51" s="126"/>
      <c r="N51" s="126"/>
      <c r="O51" s="127">
        <f>SUM(C51:E51)</f>
        <v>4955.5423829282754</v>
      </c>
      <c r="P51" s="128"/>
      <c r="Q51" s="128"/>
      <c r="R51" s="128"/>
      <c r="S51" s="127">
        <f>SUM(C51:H51)</f>
        <v>4955.5423829282754</v>
      </c>
      <c r="T51" s="128"/>
      <c r="U51" s="127">
        <f>SUM(C51:N51)</f>
        <v>4955.5423829282754</v>
      </c>
    </row>
    <row r="52" spans="1:21" x14ac:dyDescent="0.2">
      <c r="A52" s="123"/>
      <c r="B52" s="124" t="s">
        <v>120</v>
      </c>
      <c r="C52" s="125">
        <f>C85/$B$45</f>
        <v>4435.3882631890929</v>
      </c>
      <c r="D52" s="125">
        <f>D85/$B$45</f>
        <v>4435.3882631890929</v>
      </c>
      <c r="E52" s="125">
        <f>E85/$B$45</f>
        <v>4435.3882631890929</v>
      </c>
      <c r="F52" s="126"/>
      <c r="G52" s="126"/>
      <c r="H52" s="126"/>
      <c r="I52" s="126"/>
      <c r="J52" s="126"/>
      <c r="K52" s="126"/>
      <c r="L52" s="126"/>
      <c r="M52" s="126"/>
      <c r="N52" s="126"/>
      <c r="O52" s="127">
        <f>SUM(C52:E52)</f>
        <v>13306.16478956728</v>
      </c>
      <c r="P52" s="128"/>
      <c r="Q52" s="128"/>
      <c r="R52" s="128"/>
      <c r="S52" s="127">
        <f>SUM(C52:H52)</f>
        <v>13306.16478956728</v>
      </c>
      <c r="T52" s="128"/>
      <c r="U52" s="127">
        <f>SUM(C52:N52)</f>
        <v>13306.16478956728</v>
      </c>
    </row>
    <row r="53" spans="1:21" x14ac:dyDescent="0.2">
      <c r="A53" s="123"/>
      <c r="B53" s="124" t="s">
        <v>121</v>
      </c>
      <c r="C53" s="125">
        <f>C86/$B$45</f>
        <v>5742.7385892116181</v>
      </c>
      <c r="D53" s="125">
        <f>D86/$B$45</f>
        <v>5742.7385892116181</v>
      </c>
      <c r="E53" s="125">
        <f>E86/$B$45</f>
        <v>5505.6312981624178</v>
      </c>
      <c r="F53" s="126"/>
      <c r="G53" s="126"/>
      <c r="H53" s="126"/>
      <c r="I53" s="126"/>
      <c r="J53" s="126"/>
      <c r="K53" s="126"/>
      <c r="L53" s="126"/>
      <c r="M53" s="126"/>
      <c r="N53" s="126"/>
      <c r="O53" s="127">
        <f>SUM(C53:E53)</f>
        <v>16991.108476585654</v>
      </c>
      <c r="P53" s="128"/>
      <c r="Q53" s="128"/>
      <c r="R53" s="128"/>
      <c r="S53" s="127">
        <f>SUM(C53:H53)</f>
        <v>16991.108476585654</v>
      </c>
      <c r="T53" s="128"/>
      <c r="U53" s="127">
        <f>SUM(C53:N53)</f>
        <v>16991.108476585654</v>
      </c>
    </row>
    <row r="54" spans="1:21" x14ac:dyDescent="0.2">
      <c r="A54" s="123"/>
      <c r="B54" s="124" t="s">
        <v>122</v>
      </c>
      <c r="C54" s="125">
        <f>C87/$B$45</f>
        <v>0</v>
      </c>
      <c r="D54" s="125">
        <f>D87/$B$45</f>
        <v>0</v>
      </c>
      <c r="E54" s="125">
        <f>E87/$B$45</f>
        <v>0</v>
      </c>
      <c r="F54" s="126"/>
      <c r="G54" s="126"/>
      <c r="H54" s="126"/>
      <c r="I54" s="126"/>
      <c r="J54" s="126"/>
      <c r="K54" s="126"/>
      <c r="L54" s="126"/>
      <c r="M54" s="126"/>
      <c r="N54" s="126"/>
      <c r="O54" s="127">
        <f>SUM(C54:E54)</f>
        <v>0</v>
      </c>
      <c r="P54" s="128"/>
      <c r="Q54" s="128"/>
      <c r="R54" s="128"/>
      <c r="S54" s="127">
        <f>SUM(C54:H54)</f>
        <v>0</v>
      </c>
      <c r="T54" s="128"/>
      <c r="U54" s="127">
        <f>SUM(C54:N54)</f>
        <v>0</v>
      </c>
    </row>
    <row r="55" spans="1:21" x14ac:dyDescent="0.2">
      <c r="A55" s="123"/>
      <c r="B55" s="124" t="s">
        <v>123</v>
      </c>
      <c r="C55" s="125">
        <f>C88/$B$45</f>
        <v>2778.8974510966209</v>
      </c>
      <c r="D55" s="125">
        <f>D88/$B$45</f>
        <v>2778.8974510966209</v>
      </c>
      <c r="E55" s="125">
        <f>E88/$B$45</f>
        <v>2778.8974510966209</v>
      </c>
      <c r="F55" s="126"/>
      <c r="G55" s="126"/>
      <c r="H55" s="126"/>
      <c r="I55" s="126"/>
      <c r="J55" s="126"/>
      <c r="K55" s="126"/>
      <c r="L55" s="126"/>
      <c r="M55" s="126"/>
      <c r="N55" s="126"/>
      <c r="O55" s="127">
        <f>SUM(C55:E55)</f>
        <v>8336.6923532898618</v>
      </c>
      <c r="P55" s="128"/>
      <c r="Q55" s="128"/>
      <c r="R55" s="128"/>
      <c r="S55" s="127">
        <f>SUM(C55:H55)</f>
        <v>8336.6923532898618</v>
      </c>
      <c r="T55" s="128"/>
      <c r="U55" s="127">
        <f>SUM(C55:N55)</f>
        <v>8336.6923532898618</v>
      </c>
    </row>
    <row r="56" spans="1:21" x14ac:dyDescent="0.2">
      <c r="A56" s="123"/>
      <c r="B56" s="124" t="s">
        <v>124</v>
      </c>
      <c r="C56" s="125">
        <f>C89/$B$45</f>
        <v>1232.9579134558387</v>
      </c>
      <c r="D56" s="125">
        <f>D89/$B$45</f>
        <v>1232.9579134558387</v>
      </c>
      <c r="E56" s="125">
        <f>E89/$B$45</f>
        <v>1232.9579134558387</v>
      </c>
      <c r="F56" s="126"/>
      <c r="G56" s="126"/>
      <c r="H56" s="126"/>
      <c r="I56" s="126"/>
      <c r="J56" s="126"/>
      <c r="K56" s="126"/>
      <c r="L56" s="126"/>
      <c r="M56" s="126"/>
      <c r="N56" s="126"/>
      <c r="O56" s="127">
        <f>SUM(C56:E56)</f>
        <v>3698.8737403675159</v>
      </c>
      <c r="P56" s="128"/>
      <c r="Q56" s="128"/>
      <c r="R56" s="128"/>
      <c r="S56" s="127">
        <f>SUM(C56:H56)</f>
        <v>3698.8737403675159</v>
      </c>
      <c r="T56" s="128"/>
      <c r="U56" s="127">
        <f>SUM(C56:N56)</f>
        <v>3698.8737403675159</v>
      </c>
    </row>
    <row r="57" spans="1:21" x14ac:dyDescent="0.2">
      <c r="A57" s="123"/>
      <c r="B57" s="124" t="s">
        <v>225</v>
      </c>
      <c r="C57" s="125">
        <f>C90/$B$45</f>
        <v>924.71843509187897</v>
      </c>
      <c r="D57" s="125">
        <f>D90/$B$45</f>
        <v>924.71843509187897</v>
      </c>
      <c r="E57" s="125">
        <f>E90/$B$45</f>
        <v>924.71843509187897</v>
      </c>
      <c r="F57" s="126"/>
      <c r="G57" s="126"/>
      <c r="H57" s="126"/>
      <c r="I57" s="126"/>
      <c r="J57" s="126"/>
      <c r="K57" s="126"/>
      <c r="L57" s="126"/>
      <c r="M57" s="126"/>
      <c r="N57" s="126"/>
      <c r="O57" s="127">
        <f>SUM(C57:E57)</f>
        <v>2774.1553052756371</v>
      </c>
      <c r="P57" s="128"/>
      <c r="Q57" s="128"/>
      <c r="R57" s="128"/>
      <c r="S57" s="127">
        <f>SUM(C57:H57)</f>
        <v>2774.1553052756371</v>
      </c>
      <c r="T57" s="128"/>
      <c r="U57" s="127">
        <f>SUM(C57:N57)</f>
        <v>2774.1553052756371</v>
      </c>
    </row>
    <row r="58" spans="1:21" x14ac:dyDescent="0.2">
      <c r="A58" s="123"/>
      <c r="B58" s="124" t="s">
        <v>26</v>
      </c>
      <c r="C58" s="125">
        <f>C91/$B$45</f>
        <v>711.32187314759926</v>
      </c>
      <c r="D58" s="125">
        <f>D91/$B$45</f>
        <v>711.32187314759926</v>
      </c>
      <c r="E58" s="125">
        <f>E91/$B$45</f>
        <v>711.32187314759926</v>
      </c>
      <c r="F58" s="126"/>
      <c r="G58" s="126"/>
      <c r="H58" s="126"/>
      <c r="I58" s="126"/>
      <c r="J58" s="126"/>
      <c r="K58" s="126"/>
      <c r="L58" s="126"/>
      <c r="M58" s="126"/>
      <c r="N58" s="126"/>
      <c r="O58" s="127">
        <f>SUM(C58:E58)</f>
        <v>2133.965619442798</v>
      </c>
      <c r="P58" s="128"/>
      <c r="Q58" s="128"/>
      <c r="R58" s="128"/>
      <c r="S58" s="127">
        <f>SUM(C58:H58)</f>
        <v>2133.965619442798</v>
      </c>
      <c r="T58" s="128"/>
      <c r="U58" s="127">
        <f>SUM(C58:N58)</f>
        <v>2133.965619442798</v>
      </c>
    </row>
    <row r="59" spans="1:21" x14ac:dyDescent="0.2">
      <c r="A59" s="123"/>
      <c r="B59" s="124"/>
      <c r="C59" s="125"/>
      <c r="D59" s="125"/>
      <c r="E59" s="125"/>
      <c r="F59" s="126"/>
      <c r="G59" s="126"/>
      <c r="H59" s="126"/>
      <c r="I59" s="126"/>
      <c r="J59" s="126"/>
      <c r="K59" s="126"/>
      <c r="L59" s="126"/>
      <c r="M59" s="126"/>
      <c r="N59" s="126"/>
      <c r="O59" s="127"/>
      <c r="P59" s="128"/>
      <c r="Q59" s="128"/>
      <c r="R59" s="128"/>
      <c r="S59" s="127"/>
      <c r="T59" s="128"/>
      <c r="U59" s="127"/>
    </row>
    <row r="60" spans="1:21" x14ac:dyDescent="0.2">
      <c r="A60" s="123"/>
      <c r="B60" s="124"/>
      <c r="C60" s="125"/>
      <c r="D60" s="125"/>
      <c r="E60" s="125"/>
      <c r="F60" s="126"/>
      <c r="G60" s="126"/>
      <c r="H60" s="126"/>
      <c r="I60" s="126"/>
      <c r="J60" s="126"/>
      <c r="K60" s="126"/>
      <c r="L60" s="126"/>
      <c r="M60" s="126"/>
      <c r="N60" s="126"/>
      <c r="O60" s="127"/>
      <c r="P60" s="128"/>
      <c r="Q60" s="128"/>
      <c r="R60" s="128"/>
      <c r="S60" s="127"/>
      <c r="T60" s="128"/>
      <c r="U60" s="127"/>
    </row>
    <row r="61" spans="1:21" x14ac:dyDescent="0.2">
      <c r="A61" s="123"/>
      <c r="B61" s="124"/>
      <c r="C61" s="125"/>
      <c r="D61" s="125"/>
      <c r="E61" s="125"/>
      <c r="F61" s="126"/>
      <c r="G61" s="126"/>
      <c r="H61" s="126"/>
      <c r="I61" s="126"/>
      <c r="J61" s="126"/>
      <c r="K61" s="126"/>
      <c r="L61" s="126"/>
      <c r="M61" s="126"/>
      <c r="N61" s="126"/>
      <c r="O61" s="127"/>
      <c r="P61" s="128"/>
      <c r="Q61" s="128"/>
      <c r="R61" s="128"/>
      <c r="S61" s="127"/>
      <c r="T61" s="128"/>
      <c r="U61" s="127"/>
    </row>
    <row r="62" spans="1:21" x14ac:dyDescent="0.2">
      <c r="A62" s="123"/>
      <c r="B62" s="124"/>
      <c r="C62" s="125"/>
      <c r="D62" s="125"/>
      <c r="E62" s="125"/>
      <c r="F62" s="126"/>
      <c r="G62" s="126"/>
      <c r="H62" s="126"/>
      <c r="I62" s="126"/>
      <c r="J62" s="126"/>
      <c r="K62" s="126"/>
      <c r="L62" s="126"/>
      <c r="M62" s="126"/>
      <c r="N62" s="126"/>
      <c r="O62" s="127"/>
      <c r="P62" s="128"/>
      <c r="Q62" s="128"/>
      <c r="R62" s="128"/>
      <c r="S62" s="127"/>
      <c r="T62" s="128"/>
      <c r="U62" s="127"/>
    </row>
    <row r="63" spans="1:21" x14ac:dyDescent="0.2">
      <c r="A63" s="123"/>
      <c r="B63" s="115" t="s">
        <v>128</v>
      </c>
      <c r="C63" s="129">
        <f>SUM(C51:C57)</f>
        <v>16845.583876704208</v>
      </c>
      <c r="D63" s="129">
        <f>SUM(D51:D57)</f>
        <v>16845.583876704208</v>
      </c>
      <c r="E63" s="129">
        <f>SUM(E51:E57)</f>
        <v>16371.369294605809</v>
      </c>
      <c r="F63" s="130">
        <f>SUM(F51:F57)</f>
        <v>0</v>
      </c>
      <c r="G63" s="130">
        <f>SUM(G51:G57)</f>
        <v>0</v>
      </c>
      <c r="H63" s="130">
        <f>SUM(H51:H57)</f>
        <v>0</v>
      </c>
      <c r="I63" s="130">
        <f>SUM(I51:I57)</f>
        <v>0</v>
      </c>
      <c r="J63" s="130">
        <f>SUM(J51:J57)</f>
        <v>0</v>
      </c>
      <c r="K63" s="130">
        <f>SUM(K51:K57)</f>
        <v>0</v>
      </c>
      <c r="L63" s="130">
        <f>SUM(L51:L57)</f>
        <v>0</v>
      </c>
      <c r="M63" s="130">
        <f>SUM(M51:M57)</f>
        <v>0</v>
      </c>
      <c r="N63" s="130">
        <f>SUM(N51:N57)</f>
        <v>0</v>
      </c>
      <c r="O63" s="131">
        <f>SUM(C63:E63)</f>
        <v>50062.537048014223</v>
      </c>
      <c r="P63" s="132"/>
      <c r="Q63" s="132"/>
      <c r="R63" s="132"/>
      <c r="S63" s="131">
        <f>SUM(C63:H63)</f>
        <v>50062.537048014223</v>
      </c>
      <c r="T63" s="132"/>
      <c r="U63" s="131">
        <f>SUM(C63:N63)</f>
        <v>50062.537048014223</v>
      </c>
    </row>
    <row r="64" spans="1:21" x14ac:dyDescent="0.2">
      <c r="A64" s="123"/>
      <c r="B64" s="115" t="s">
        <v>254</v>
      </c>
      <c r="C64" s="129">
        <f>SUM(C51:C56)</f>
        <v>15920.86544161233</v>
      </c>
      <c r="D64" s="129">
        <f t="shared" ref="D64:E64" si="6">SUM(D51:D56)</f>
        <v>15920.86544161233</v>
      </c>
      <c r="E64" s="129">
        <f t="shared" si="6"/>
        <v>15446.650859513929</v>
      </c>
      <c r="F64" s="130"/>
      <c r="G64" s="130"/>
      <c r="H64" s="130"/>
      <c r="I64" s="130"/>
      <c r="J64" s="130"/>
      <c r="K64" s="130"/>
      <c r="L64" s="130"/>
      <c r="M64" s="130"/>
      <c r="N64" s="130"/>
      <c r="O64" s="131">
        <f t="shared" ref="O64:O65" si="7">SUM(C64:E64)</f>
        <v>47288.381742738587</v>
      </c>
      <c r="P64" s="132"/>
      <c r="Q64" s="132"/>
      <c r="R64" s="132"/>
      <c r="S64" s="131">
        <f t="shared" ref="S64:S65" si="8">SUM(C64:H64)</f>
        <v>47288.381742738587</v>
      </c>
      <c r="T64" s="132"/>
      <c r="U64" s="131">
        <f t="shared" ref="U64:U65" si="9">SUM(C64:N64)</f>
        <v>47288.381742738587</v>
      </c>
    </row>
    <row r="65" spans="1:21" x14ac:dyDescent="0.2">
      <c r="A65" s="123"/>
      <c r="B65" s="115" t="s">
        <v>255</v>
      </c>
      <c r="C65" s="129">
        <f>SUM(C57:C58)</f>
        <v>1636.0403082394782</v>
      </c>
      <c r="D65" s="129">
        <f t="shared" ref="D65:E65" si="10">SUM(D57:D58)</f>
        <v>1636.0403082394782</v>
      </c>
      <c r="E65" s="129">
        <f t="shared" si="10"/>
        <v>1636.0403082394782</v>
      </c>
      <c r="F65" s="130"/>
      <c r="G65" s="130"/>
      <c r="H65" s="130"/>
      <c r="I65" s="130"/>
      <c r="J65" s="130"/>
      <c r="K65" s="130"/>
      <c r="L65" s="130"/>
      <c r="M65" s="130"/>
      <c r="N65" s="130"/>
      <c r="O65" s="131">
        <f t="shared" si="7"/>
        <v>4908.1209247184343</v>
      </c>
      <c r="P65" s="132"/>
      <c r="Q65" s="132"/>
      <c r="R65" s="132"/>
      <c r="S65" s="131">
        <f t="shared" si="8"/>
        <v>4908.1209247184343</v>
      </c>
      <c r="T65" s="132"/>
      <c r="U65" s="131">
        <f t="shared" si="9"/>
        <v>4908.1209247184343</v>
      </c>
    </row>
    <row r="66" spans="1:21" x14ac:dyDescent="0.2">
      <c r="A66" s="138"/>
      <c r="B66" s="139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</row>
    <row r="67" spans="1:21" x14ac:dyDescent="0.2">
      <c r="A67" s="123" t="s">
        <v>118</v>
      </c>
      <c r="B67" s="115" t="s">
        <v>134</v>
      </c>
      <c r="C67" s="123" t="s">
        <v>97</v>
      </c>
      <c r="D67" s="123" t="s">
        <v>98</v>
      </c>
      <c r="E67" s="123" t="s">
        <v>99</v>
      </c>
      <c r="F67" s="123" t="s">
        <v>100</v>
      </c>
      <c r="G67" s="123" t="s">
        <v>101</v>
      </c>
      <c r="H67" s="123" t="s">
        <v>102</v>
      </c>
      <c r="I67" s="123" t="s">
        <v>103</v>
      </c>
      <c r="J67" s="123" t="s">
        <v>104</v>
      </c>
      <c r="K67" s="123" t="s">
        <v>105</v>
      </c>
      <c r="L67" s="123" t="s">
        <v>106</v>
      </c>
      <c r="M67" s="123" t="s">
        <v>107</v>
      </c>
      <c r="N67" s="123" t="s">
        <v>108</v>
      </c>
      <c r="O67" s="123" t="s">
        <v>110</v>
      </c>
      <c r="P67" s="123" t="s">
        <v>111</v>
      </c>
      <c r="Q67" s="123" t="s">
        <v>112</v>
      </c>
      <c r="R67" s="123" t="s">
        <v>113</v>
      </c>
      <c r="S67" s="123" t="s">
        <v>114</v>
      </c>
      <c r="T67" s="123" t="s">
        <v>115</v>
      </c>
      <c r="U67" s="123" t="s">
        <v>129</v>
      </c>
    </row>
    <row r="68" spans="1:21" x14ac:dyDescent="0.2">
      <c r="A68" s="123"/>
      <c r="B68" s="124" t="s">
        <v>119</v>
      </c>
      <c r="C68" s="133">
        <f>C84/$B$46</f>
        <v>1300.0890471950133</v>
      </c>
      <c r="D68" s="133">
        <f>D84/$B$46</f>
        <v>1300.0890471950133</v>
      </c>
      <c r="E68" s="133">
        <f>E84/$B$46</f>
        <v>1121.9946571682992</v>
      </c>
      <c r="F68" s="126"/>
      <c r="G68" s="126"/>
      <c r="H68" s="126"/>
      <c r="I68" s="126"/>
      <c r="J68" s="126"/>
      <c r="K68" s="126"/>
      <c r="L68" s="126"/>
      <c r="M68" s="126"/>
      <c r="N68" s="126"/>
      <c r="O68" s="134">
        <f>SUM(C68:E68)</f>
        <v>3722.1727515583261</v>
      </c>
      <c r="P68" s="128"/>
      <c r="Q68" s="128"/>
      <c r="R68" s="128"/>
      <c r="S68" s="134">
        <f>SUM(C68:E68)</f>
        <v>3722.1727515583261</v>
      </c>
      <c r="T68" s="128"/>
      <c r="U68" s="134">
        <f>SUM(C68:N68)</f>
        <v>3722.1727515583261</v>
      </c>
    </row>
    <row r="69" spans="1:21" x14ac:dyDescent="0.2">
      <c r="A69" s="123"/>
      <c r="B69" s="124" t="s">
        <v>120</v>
      </c>
      <c r="C69" s="133">
        <f>C85/$B$46</f>
        <v>3331.4781834372216</v>
      </c>
      <c r="D69" s="133">
        <f>D85/$B$46</f>
        <v>3331.4781834372216</v>
      </c>
      <c r="E69" s="133">
        <f>E85/$B$46</f>
        <v>3331.4781834372216</v>
      </c>
      <c r="F69" s="126"/>
      <c r="G69" s="126"/>
      <c r="H69" s="126"/>
      <c r="I69" s="126"/>
      <c r="J69" s="126"/>
      <c r="K69" s="126"/>
      <c r="L69" s="126"/>
      <c r="M69" s="126"/>
      <c r="N69" s="126"/>
      <c r="O69" s="134">
        <f>SUM(C69:E69)</f>
        <v>9994.4345503116638</v>
      </c>
      <c r="P69" s="128"/>
      <c r="Q69" s="128"/>
      <c r="R69" s="128"/>
      <c r="S69" s="134">
        <f>SUM(C69:E69)</f>
        <v>9994.4345503116638</v>
      </c>
      <c r="T69" s="128"/>
      <c r="U69" s="134">
        <f>SUM(C69:N69)</f>
        <v>9994.4345503116638</v>
      </c>
    </row>
    <row r="70" spans="1:21" x14ac:dyDescent="0.2">
      <c r="A70" s="123"/>
      <c r="B70" s="124" t="s">
        <v>121</v>
      </c>
      <c r="C70" s="133">
        <f>C86/$B$46</f>
        <v>4313.4461264470165</v>
      </c>
      <c r="D70" s="133">
        <f>D86/$B$46</f>
        <v>4313.4461264470165</v>
      </c>
      <c r="E70" s="133">
        <f>E86/$B$46</f>
        <v>4135.3517364203026</v>
      </c>
      <c r="F70" s="126"/>
      <c r="G70" s="126"/>
      <c r="H70" s="126"/>
      <c r="I70" s="126"/>
      <c r="J70" s="126"/>
      <c r="K70" s="126"/>
      <c r="L70" s="126"/>
      <c r="M70" s="126"/>
      <c r="N70" s="126"/>
      <c r="O70" s="134">
        <f>SUM(C70:E70)</f>
        <v>12762.243989314335</v>
      </c>
      <c r="P70" s="128"/>
      <c r="Q70" s="128"/>
      <c r="R70" s="128"/>
      <c r="S70" s="134">
        <f>SUM(C70:E70)</f>
        <v>12762.243989314335</v>
      </c>
      <c r="T70" s="128"/>
      <c r="U70" s="134">
        <f>SUM(C70:N70)</f>
        <v>12762.243989314335</v>
      </c>
    </row>
    <row r="71" spans="1:21" x14ac:dyDescent="0.2">
      <c r="A71" s="123"/>
      <c r="B71" s="124" t="s">
        <v>122</v>
      </c>
      <c r="C71" s="133">
        <f>C87/$B$46</f>
        <v>0</v>
      </c>
      <c r="D71" s="133">
        <f>D87/$B$46</f>
        <v>0</v>
      </c>
      <c r="E71" s="133">
        <f>E87/$B$46</f>
        <v>0</v>
      </c>
      <c r="F71" s="126"/>
      <c r="G71" s="126"/>
      <c r="H71" s="126"/>
      <c r="I71" s="126"/>
      <c r="J71" s="126"/>
      <c r="K71" s="126"/>
      <c r="L71" s="126"/>
      <c r="M71" s="126"/>
      <c r="N71" s="126"/>
      <c r="O71" s="134">
        <f>SUM(C71:E71)</f>
        <v>0</v>
      </c>
      <c r="P71" s="128"/>
      <c r="Q71" s="128"/>
      <c r="R71" s="128"/>
      <c r="S71" s="134">
        <f>SUM(C71:E71)</f>
        <v>0</v>
      </c>
      <c r="T71" s="128"/>
      <c r="U71" s="134">
        <f>SUM(C71:N71)</f>
        <v>0</v>
      </c>
    </row>
    <row r="72" spans="1:21" x14ac:dyDescent="0.2">
      <c r="A72" s="123"/>
      <c r="B72" s="124" t="s">
        <v>123</v>
      </c>
      <c r="C72" s="133">
        <f>C88/$B$46</f>
        <v>2087.2662511130898</v>
      </c>
      <c r="D72" s="133">
        <f>D88/$B$46</f>
        <v>2087.2662511130898</v>
      </c>
      <c r="E72" s="133">
        <f>E88/$B$46</f>
        <v>2087.2662511130898</v>
      </c>
      <c r="F72" s="126"/>
      <c r="G72" s="126"/>
      <c r="H72" s="126"/>
      <c r="I72" s="126"/>
      <c r="J72" s="126"/>
      <c r="K72" s="126"/>
      <c r="L72" s="126"/>
      <c r="M72" s="126"/>
      <c r="N72" s="126"/>
      <c r="O72" s="134">
        <f>SUM(C72:E72)</f>
        <v>6261.7987533392698</v>
      </c>
      <c r="P72" s="128"/>
      <c r="Q72" s="128"/>
      <c r="R72" s="128"/>
      <c r="S72" s="134">
        <f>SUM(C72:E72)</f>
        <v>6261.7987533392698</v>
      </c>
      <c r="T72" s="128"/>
      <c r="U72" s="134">
        <f>SUM(C72:N72)</f>
        <v>6261.7987533392698</v>
      </c>
    </row>
    <row r="73" spans="1:21" x14ac:dyDescent="0.2">
      <c r="A73" s="123"/>
      <c r="B73" s="124" t="s">
        <v>124</v>
      </c>
      <c r="C73" s="133">
        <f>C89/$B$46</f>
        <v>926.09082813891359</v>
      </c>
      <c r="D73" s="133">
        <f>D89/$B$46</f>
        <v>926.09082813891359</v>
      </c>
      <c r="E73" s="133">
        <f>E89/$B$46</f>
        <v>926.09082813891359</v>
      </c>
      <c r="F73" s="126"/>
      <c r="G73" s="126"/>
      <c r="H73" s="126"/>
      <c r="I73" s="126"/>
      <c r="J73" s="126"/>
      <c r="K73" s="126"/>
      <c r="L73" s="126"/>
      <c r="M73" s="126"/>
      <c r="N73" s="126"/>
      <c r="O73" s="134">
        <f>SUM(C73:E73)</f>
        <v>2778.2724844167406</v>
      </c>
      <c r="P73" s="128"/>
      <c r="Q73" s="128"/>
      <c r="R73" s="128"/>
      <c r="S73" s="134">
        <f>SUM(C73:E73)</f>
        <v>2778.2724844167406</v>
      </c>
      <c r="T73" s="128"/>
      <c r="U73" s="134">
        <f>SUM(C73:N73)</f>
        <v>2778.2724844167406</v>
      </c>
    </row>
    <row r="74" spans="1:21" x14ac:dyDescent="0.2">
      <c r="A74" s="123"/>
      <c r="B74" s="124" t="s">
        <v>225</v>
      </c>
      <c r="C74" s="133">
        <f>C90/$B$46</f>
        <v>694.56812110418514</v>
      </c>
      <c r="D74" s="133">
        <f>D90/$B$46</f>
        <v>694.56812110418514</v>
      </c>
      <c r="E74" s="133">
        <f>E90/$B$46</f>
        <v>694.56812110418514</v>
      </c>
      <c r="F74" s="126"/>
      <c r="G74" s="126"/>
      <c r="H74" s="126"/>
      <c r="I74" s="126"/>
      <c r="J74" s="126"/>
      <c r="K74" s="126"/>
      <c r="L74" s="126"/>
      <c r="M74" s="126"/>
      <c r="N74" s="126"/>
      <c r="O74" s="134">
        <f t="shared" ref="O74:O75" si="11">SUM(C74:E74)</f>
        <v>2083.7043633125554</v>
      </c>
      <c r="P74" s="128"/>
      <c r="Q74" s="128"/>
      <c r="R74" s="128"/>
      <c r="S74" s="134">
        <f t="shared" ref="S74:S75" si="12">SUM(C74:E74)</f>
        <v>2083.7043633125554</v>
      </c>
      <c r="T74" s="128"/>
      <c r="U74" s="134">
        <f t="shared" ref="U74:U75" si="13">SUM(C74:N74)</f>
        <v>2083.7043633125554</v>
      </c>
    </row>
    <row r="75" spans="1:21" x14ac:dyDescent="0.2">
      <c r="A75" s="123"/>
      <c r="B75" s="124" t="s">
        <v>26</v>
      </c>
      <c r="C75" s="133">
        <f>C91/$B$46</f>
        <v>534.28317008014244</v>
      </c>
      <c r="D75" s="133">
        <f>D91/$B$46</f>
        <v>534.28317008014244</v>
      </c>
      <c r="E75" s="133">
        <f>E91/$B$46</f>
        <v>534.28317008014244</v>
      </c>
      <c r="F75" s="126"/>
      <c r="G75" s="126"/>
      <c r="H75" s="126"/>
      <c r="I75" s="126"/>
      <c r="J75" s="126"/>
      <c r="K75" s="126"/>
      <c r="L75" s="126"/>
      <c r="M75" s="126"/>
      <c r="N75" s="126"/>
      <c r="O75" s="134">
        <f t="shared" si="11"/>
        <v>1602.8495102404272</v>
      </c>
      <c r="P75" s="128"/>
      <c r="Q75" s="128"/>
      <c r="R75" s="128"/>
      <c r="S75" s="134">
        <f t="shared" si="12"/>
        <v>1602.8495102404272</v>
      </c>
      <c r="T75" s="128"/>
      <c r="U75" s="134">
        <f t="shared" si="13"/>
        <v>1602.8495102404272</v>
      </c>
    </row>
    <row r="76" spans="1:21" x14ac:dyDescent="0.2">
      <c r="A76" s="123"/>
      <c r="B76" s="124"/>
      <c r="C76" s="133"/>
      <c r="D76" s="133"/>
      <c r="E76" s="133"/>
      <c r="F76" s="126"/>
      <c r="G76" s="126"/>
      <c r="H76" s="126"/>
      <c r="I76" s="126"/>
      <c r="J76" s="126"/>
      <c r="K76" s="126"/>
      <c r="L76" s="126"/>
      <c r="M76" s="126"/>
      <c r="N76" s="126"/>
      <c r="O76" s="134"/>
      <c r="P76" s="128"/>
      <c r="Q76" s="128"/>
      <c r="R76" s="128"/>
      <c r="S76" s="134"/>
      <c r="T76" s="128"/>
      <c r="U76" s="134"/>
    </row>
    <row r="77" spans="1:21" x14ac:dyDescent="0.2">
      <c r="A77" s="123"/>
      <c r="B77" s="124"/>
      <c r="C77" s="133"/>
      <c r="D77" s="133"/>
      <c r="E77" s="133"/>
      <c r="F77" s="126"/>
      <c r="G77" s="126"/>
      <c r="H77" s="126"/>
      <c r="I77" s="126"/>
      <c r="J77" s="126"/>
      <c r="K77" s="126"/>
      <c r="L77" s="126"/>
      <c r="M77" s="126"/>
      <c r="N77" s="126"/>
      <c r="O77" s="134"/>
      <c r="P77" s="128"/>
      <c r="Q77" s="128"/>
      <c r="R77" s="128"/>
      <c r="S77" s="134"/>
      <c r="T77" s="128"/>
      <c r="U77" s="134"/>
    </row>
    <row r="78" spans="1:21" x14ac:dyDescent="0.2">
      <c r="A78" s="123"/>
      <c r="B78" s="124"/>
      <c r="C78" s="133"/>
      <c r="D78" s="133"/>
      <c r="E78" s="133"/>
      <c r="F78" s="126"/>
      <c r="G78" s="126"/>
      <c r="H78" s="126"/>
      <c r="I78" s="126"/>
      <c r="J78" s="126"/>
      <c r="K78" s="126"/>
      <c r="L78" s="126"/>
      <c r="M78" s="126"/>
      <c r="N78" s="126"/>
      <c r="O78" s="134">
        <f>SUM(C78:E78)</f>
        <v>0</v>
      </c>
      <c r="P78" s="128"/>
      <c r="Q78" s="128"/>
      <c r="R78" s="128"/>
      <c r="S78" s="134">
        <f>SUM(C78:E78)</f>
        <v>0</v>
      </c>
      <c r="T78" s="128"/>
      <c r="U78" s="134">
        <f>SUM(C78:N78)</f>
        <v>0</v>
      </c>
    </row>
    <row r="79" spans="1:21" x14ac:dyDescent="0.2">
      <c r="A79" s="123"/>
      <c r="B79" s="115" t="s">
        <v>128</v>
      </c>
      <c r="C79" s="135">
        <f>SUM(C68:C78)</f>
        <v>13187.22172751558</v>
      </c>
      <c r="D79" s="135">
        <f>SUM(D68:D78)</f>
        <v>13187.22172751558</v>
      </c>
      <c r="E79" s="135">
        <f>SUM(E68:E78)</f>
        <v>12831.032947462152</v>
      </c>
      <c r="F79" s="135">
        <f>SUM(F68:F78)</f>
        <v>0</v>
      </c>
      <c r="G79" s="135">
        <f>SUM(G68:G78)</f>
        <v>0</v>
      </c>
      <c r="H79" s="135">
        <f>SUM(H68:H78)</f>
        <v>0</v>
      </c>
      <c r="I79" s="135">
        <f>SUM(I68:I78)</f>
        <v>0</v>
      </c>
      <c r="J79" s="135">
        <f>SUM(J68:J78)</f>
        <v>0</v>
      </c>
      <c r="K79" s="135">
        <f>SUM(K68:K78)</f>
        <v>0</v>
      </c>
      <c r="L79" s="135">
        <f>SUM(L68:L78)</f>
        <v>0</v>
      </c>
      <c r="M79" s="135">
        <f>SUM(M68:M78)</f>
        <v>0</v>
      </c>
      <c r="N79" s="135">
        <f>SUM(N68:N78)</f>
        <v>0</v>
      </c>
      <c r="O79" s="135">
        <f>SUM(C79:E79)</f>
        <v>39205.47640249331</v>
      </c>
      <c r="P79" s="132"/>
      <c r="Q79" s="132"/>
      <c r="R79" s="132"/>
      <c r="S79" s="135">
        <f>SUM(C79:E79)</f>
        <v>39205.47640249331</v>
      </c>
      <c r="T79" s="132"/>
      <c r="U79" s="135">
        <f>SUM(C79:N79)</f>
        <v>39205.47640249331</v>
      </c>
    </row>
    <row r="80" spans="1:21" x14ac:dyDescent="0.2">
      <c r="A80" s="123"/>
      <c r="B80" s="115" t="s">
        <v>254</v>
      </c>
      <c r="C80" s="416">
        <f>SUM(C67:C72)</f>
        <v>11032.279608192341</v>
      </c>
      <c r="D80" s="416">
        <f t="shared" ref="D80:E80" si="14">SUM(D67:D72)</f>
        <v>11032.279608192341</v>
      </c>
      <c r="E80" s="416">
        <f t="shared" si="14"/>
        <v>10676.090828138913</v>
      </c>
      <c r="F80" s="135"/>
      <c r="G80" s="135"/>
      <c r="H80" s="135"/>
      <c r="I80" s="135"/>
      <c r="J80" s="135"/>
      <c r="K80" s="135"/>
      <c r="L80" s="135"/>
      <c r="M80" s="135"/>
      <c r="N80" s="135"/>
      <c r="O80" s="135">
        <f t="shared" ref="O80:O81" si="15">SUM(C80:E80)</f>
        <v>32740.650044523594</v>
      </c>
      <c r="P80" s="132"/>
      <c r="Q80" s="132"/>
      <c r="R80" s="132"/>
      <c r="S80" s="135">
        <f t="shared" ref="S80:S81" si="16">SUM(C80:E80)</f>
        <v>32740.650044523594</v>
      </c>
      <c r="T80" s="132"/>
      <c r="U80" s="135">
        <f t="shared" ref="U80:U81" si="17">SUM(C80:N80)</f>
        <v>32740.650044523594</v>
      </c>
    </row>
    <row r="81" spans="1:21" x14ac:dyDescent="0.2">
      <c r="A81" s="123"/>
      <c r="B81" s="115" t="s">
        <v>255</v>
      </c>
      <c r="C81" s="416">
        <f>SUM(C73:C74)</f>
        <v>1620.6589492430987</v>
      </c>
      <c r="D81" s="416">
        <f t="shared" ref="D81:E81" si="18">SUM(D73:D74)</f>
        <v>1620.6589492430987</v>
      </c>
      <c r="E81" s="416">
        <f t="shared" si="18"/>
        <v>1620.6589492430987</v>
      </c>
      <c r="F81" s="135"/>
      <c r="G81" s="135"/>
      <c r="H81" s="135"/>
      <c r="I81" s="135"/>
      <c r="J81" s="135"/>
      <c r="K81" s="135"/>
      <c r="L81" s="135"/>
      <c r="M81" s="135"/>
      <c r="N81" s="135"/>
      <c r="O81" s="135">
        <f t="shared" si="15"/>
        <v>4861.9768477292964</v>
      </c>
      <c r="P81" s="132"/>
      <c r="Q81" s="132"/>
      <c r="R81" s="132"/>
      <c r="S81" s="135">
        <f t="shared" si="16"/>
        <v>4861.9768477292964</v>
      </c>
      <c r="T81" s="132"/>
      <c r="U81" s="135">
        <f t="shared" si="17"/>
        <v>4861.9768477292964</v>
      </c>
    </row>
    <row r="82" spans="1:21" x14ac:dyDescent="0.2">
      <c r="A82" s="138"/>
      <c r="B82" s="139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</row>
    <row r="83" spans="1:21" x14ac:dyDescent="0.2">
      <c r="A83" s="123" t="s">
        <v>31</v>
      </c>
      <c r="B83" s="115" t="s">
        <v>134</v>
      </c>
      <c r="C83" s="123" t="s">
        <v>97</v>
      </c>
      <c r="D83" s="123" t="s">
        <v>98</v>
      </c>
      <c r="E83" s="123" t="s">
        <v>99</v>
      </c>
      <c r="F83" s="123" t="s">
        <v>100</v>
      </c>
      <c r="G83" s="123" t="s">
        <v>101</v>
      </c>
      <c r="H83" s="123" t="s">
        <v>102</v>
      </c>
      <c r="I83" s="123" t="s">
        <v>103</v>
      </c>
      <c r="J83" s="123" t="s">
        <v>104</v>
      </c>
      <c r="K83" s="123" t="s">
        <v>105</v>
      </c>
      <c r="L83" s="123" t="s">
        <v>106</v>
      </c>
      <c r="M83" s="123" t="s">
        <v>107</v>
      </c>
      <c r="N83" s="123" t="s">
        <v>108</v>
      </c>
      <c r="O83" s="123" t="s">
        <v>110</v>
      </c>
      <c r="P83" s="123" t="s">
        <v>111</v>
      </c>
      <c r="Q83" s="123" t="s">
        <v>112</v>
      </c>
      <c r="R83" s="123" t="s">
        <v>113</v>
      </c>
      <c r="S83" s="123" t="s">
        <v>114</v>
      </c>
      <c r="T83" s="123" t="s">
        <v>115</v>
      </c>
      <c r="U83" s="123" t="s">
        <v>129</v>
      </c>
    </row>
    <row r="84" spans="1:21" x14ac:dyDescent="0.2">
      <c r="A84" s="123"/>
      <c r="B84" s="124" t="s">
        <v>119</v>
      </c>
      <c r="C84" s="136">
        <f>'S4 Cloud Contractor Data'!A42</f>
        <v>29200</v>
      </c>
      <c r="D84" s="136">
        <f>'S4 Cloud Contractor Data'!AG42</f>
        <v>29200</v>
      </c>
      <c r="E84" s="136">
        <f>'S4 Cloud Contractor Data'!AP42</f>
        <v>25200</v>
      </c>
      <c r="F84" s="126"/>
      <c r="G84" s="126"/>
      <c r="H84" s="126"/>
      <c r="I84" s="126"/>
      <c r="J84" s="126"/>
      <c r="K84" s="126"/>
      <c r="L84" s="126"/>
      <c r="M84" s="126"/>
      <c r="N84" s="126"/>
      <c r="O84" s="137">
        <f>SUM(C84:E84)</f>
        <v>83600</v>
      </c>
      <c r="P84" s="128"/>
      <c r="Q84" s="128"/>
      <c r="R84" s="128"/>
      <c r="S84" s="137">
        <f>SUM(C84:H84)</f>
        <v>83600</v>
      </c>
      <c r="T84" s="128"/>
      <c r="U84" s="137">
        <f>SUM(C84:N84)</f>
        <v>83600</v>
      </c>
    </row>
    <row r="85" spans="1:21" x14ac:dyDescent="0.2">
      <c r="A85" s="123"/>
      <c r="B85" s="124" t="s">
        <v>120</v>
      </c>
      <c r="C85" s="136">
        <f>'S4 Cloud Contractor Data'!AB42</f>
        <v>74825</v>
      </c>
      <c r="D85" s="136">
        <f>'S4 Cloud Contractor Data'!AK42</f>
        <v>74825</v>
      </c>
      <c r="E85" s="136">
        <f>'S4 Cloud Contractor Data'!AT42</f>
        <v>74825</v>
      </c>
      <c r="F85" s="126"/>
      <c r="G85" s="126"/>
      <c r="H85" s="126"/>
      <c r="I85" s="126"/>
      <c r="J85" s="126"/>
      <c r="K85" s="126"/>
      <c r="L85" s="126"/>
      <c r="M85" s="126"/>
      <c r="N85" s="126"/>
      <c r="O85" s="137">
        <f>SUM(C85:E85)</f>
        <v>224475</v>
      </c>
      <c r="P85" s="128"/>
      <c r="Q85" s="128"/>
      <c r="R85" s="128"/>
      <c r="S85" s="137">
        <f>SUM(C85:H85)</f>
        <v>224475</v>
      </c>
      <c r="T85" s="128"/>
      <c r="U85" s="137">
        <f>SUM(C85:N85)</f>
        <v>224475</v>
      </c>
    </row>
    <row r="86" spans="1:21" x14ac:dyDescent="0.2">
      <c r="A86" s="123"/>
      <c r="B86" s="124" t="s">
        <v>121</v>
      </c>
      <c r="C86" s="136">
        <f>'S4 Cloud Contractor Data'!Y42</f>
        <v>96880</v>
      </c>
      <c r="D86" s="136">
        <f>'S4 Cloud Contractor Data'!AH42</f>
        <v>96880</v>
      </c>
      <c r="E86" s="136">
        <f>'S4 Cloud Contractor Data'!AQ42</f>
        <v>92880</v>
      </c>
      <c r="F86" s="126"/>
      <c r="G86" s="126"/>
      <c r="H86" s="126"/>
      <c r="I86" s="126"/>
      <c r="J86" s="126"/>
      <c r="K86" s="126"/>
      <c r="L86" s="126"/>
      <c r="M86" s="126"/>
      <c r="N86" s="126"/>
      <c r="O86" s="137">
        <f>SUM(C86:E86)</f>
        <v>286640</v>
      </c>
      <c r="P86" s="128"/>
      <c r="Q86" s="128"/>
      <c r="R86" s="128"/>
      <c r="S86" s="137">
        <f>SUM(C86:H86)</f>
        <v>286640</v>
      </c>
      <c r="T86" s="128"/>
      <c r="U86" s="137">
        <f>SUM(C86:N86)</f>
        <v>286640</v>
      </c>
    </row>
    <row r="87" spans="1:21" x14ac:dyDescent="0.2">
      <c r="A87" s="123"/>
      <c r="B87" s="124" t="s">
        <v>122</v>
      </c>
      <c r="C87" s="136">
        <f>'S4 Cloud Contractor Data'!AC42</f>
        <v>0</v>
      </c>
      <c r="D87" s="136">
        <f>'S4 Cloud Contractor Data'!AL42</f>
        <v>0</v>
      </c>
      <c r="E87" s="136">
        <f>'S4 Cloud Contractor Data'!AU42</f>
        <v>0</v>
      </c>
      <c r="F87" s="126"/>
      <c r="G87" s="126"/>
      <c r="H87" s="126"/>
      <c r="I87" s="126"/>
      <c r="J87" s="126"/>
      <c r="K87" s="126"/>
      <c r="L87" s="126"/>
      <c r="M87" s="126"/>
      <c r="N87" s="126"/>
      <c r="O87" s="137">
        <f>SUM(C87:E87)</f>
        <v>0</v>
      </c>
      <c r="P87" s="128"/>
      <c r="Q87" s="128"/>
      <c r="R87" s="128"/>
      <c r="S87" s="137">
        <f>SUM(C87:H87)</f>
        <v>0</v>
      </c>
      <c r="T87" s="128"/>
      <c r="U87" s="137">
        <f>SUM(C87:N87)</f>
        <v>0</v>
      </c>
    </row>
    <row r="88" spans="1:21" x14ac:dyDescent="0.2">
      <c r="A88" s="123"/>
      <c r="B88" s="124" t="s">
        <v>123</v>
      </c>
      <c r="C88" s="136">
        <f>'S4 Cloud Contractor Data'!Z42</f>
        <v>46880</v>
      </c>
      <c r="D88" s="136">
        <f>'S4 Cloud Contractor Data'!AI42</f>
        <v>46880</v>
      </c>
      <c r="E88" s="136">
        <f>'S4 Cloud Contractor Data'!AR42</f>
        <v>46880</v>
      </c>
      <c r="F88" s="126"/>
      <c r="G88" s="126"/>
      <c r="H88" s="126"/>
      <c r="I88" s="126"/>
      <c r="J88" s="126"/>
      <c r="K88" s="126"/>
      <c r="L88" s="126"/>
      <c r="M88" s="126"/>
      <c r="N88" s="126"/>
      <c r="O88" s="137">
        <f>SUM(C88:E88)</f>
        <v>140640</v>
      </c>
      <c r="P88" s="128"/>
      <c r="Q88" s="128"/>
      <c r="R88" s="128"/>
      <c r="S88" s="137">
        <f>SUM(C88:H88)</f>
        <v>140640</v>
      </c>
      <c r="T88" s="128"/>
      <c r="U88" s="137">
        <f>SUM(C88:N88)</f>
        <v>140640</v>
      </c>
    </row>
    <row r="89" spans="1:21" x14ac:dyDescent="0.2">
      <c r="A89" s="123"/>
      <c r="B89" s="124" t="s">
        <v>124</v>
      </c>
      <c r="C89" s="136">
        <f>'S4 Cloud Contractor Data'!AA42</f>
        <v>20800</v>
      </c>
      <c r="D89" s="136">
        <f>'S4 Cloud Contractor Data'!AJ42</f>
        <v>20800</v>
      </c>
      <c r="E89" s="136">
        <f>'S4 Cloud Contractor Data'!AS42</f>
        <v>20800</v>
      </c>
      <c r="F89" s="126"/>
      <c r="G89" s="126"/>
      <c r="H89" s="126"/>
      <c r="I89" s="126"/>
      <c r="J89" s="126"/>
      <c r="K89" s="126"/>
      <c r="L89" s="126"/>
      <c r="M89" s="126"/>
      <c r="N89" s="126"/>
      <c r="O89" s="137">
        <f>SUM(C89:E89)</f>
        <v>62400</v>
      </c>
      <c r="P89" s="128"/>
      <c r="Q89" s="128"/>
      <c r="R89" s="128"/>
      <c r="S89" s="137">
        <f>SUM(C89:H89)</f>
        <v>62400</v>
      </c>
      <c r="T89" s="128"/>
      <c r="U89" s="137">
        <f>SUM(C89:N89)</f>
        <v>62400</v>
      </c>
    </row>
    <row r="90" spans="1:21" x14ac:dyDescent="0.2">
      <c r="A90" s="123"/>
      <c r="B90" s="124" t="s">
        <v>225</v>
      </c>
      <c r="C90" s="136">
        <f>'S4 Cloud Contractor Data'!AD42</f>
        <v>15600</v>
      </c>
      <c r="D90" s="136">
        <f>'S4 Cloud Contractor Data'!AM42</f>
        <v>15600</v>
      </c>
      <c r="E90" s="136">
        <f>'S4 Cloud Contractor Data'!AV42</f>
        <v>15600</v>
      </c>
      <c r="F90" s="126"/>
      <c r="G90" s="126"/>
      <c r="H90" s="126"/>
      <c r="I90" s="126"/>
      <c r="J90" s="126"/>
      <c r="K90" s="126"/>
      <c r="L90" s="126"/>
      <c r="M90" s="126"/>
      <c r="N90" s="126"/>
      <c r="O90" s="137">
        <f t="shared" ref="O90:O91" si="19">SUM(C90:E90)</f>
        <v>46800</v>
      </c>
      <c r="P90" s="128"/>
      <c r="Q90" s="128"/>
      <c r="R90" s="128"/>
      <c r="S90" s="137">
        <f t="shared" ref="S90:S91" si="20">SUM(C90:H90)</f>
        <v>46800</v>
      </c>
      <c r="T90" s="128"/>
      <c r="U90" s="137">
        <f t="shared" ref="U90:U91" si="21">SUM(C90:N90)</f>
        <v>46800</v>
      </c>
    </row>
    <row r="91" spans="1:21" x14ac:dyDescent="0.2">
      <c r="A91" s="123"/>
      <c r="B91" s="124" t="s">
        <v>26</v>
      </c>
      <c r="C91" s="136">
        <f>'S4 Cloud Contractor Data'!AE42</f>
        <v>12000</v>
      </c>
      <c r="D91" s="136">
        <f>'S4 Cloud Contractor Data'!AN42</f>
        <v>12000</v>
      </c>
      <c r="E91" s="136">
        <f>'S4 Cloud Contractor Data'!AW42</f>
        <v>12000</v>
      </c>
      <c r="F91" s="126"/>
      <c r="G91" s="126"/>
      <c r="H91" s="126"/>
      <c r="I91" s="126"/>
      <c r="J91" s="126"/>
      <c r="K91" s="126"/>
      <c r="L91" s="126"/>
      <c r="M91" s="126"/>
      <c r="N91" s="126"/>
      <c r="O91" s="137">
        <f t="shared" si="19"/>
        <v>36000</v>
      </c>
      <c r="P91" s="128"/>
      <c r="Q91" s="128"/>
      <c r="R91" s="128"/>
      <c r="S91" s="137">
        <f t="shared" si="20"/>
        <v>36000</v>
      </c>
      <c r="T91" s="128"/>
      <c r="U91" s="137">
        <f t="shared" si="21"/>
        <v>36000</v>
      </c>
    </row>
    <row r="92" spans="1:21" x14ac:dyDescent="0.2">
      <c r="A92" s="123"/>
      <c r="B92" s="124"/>
      <c r="C92" s="136"/>
      <c r="D92" s="136"/>
      <c r="E92" s="136"/>
      <c r="F92" s="126"/>
      <c r="G92" s="126"/>
      <c r="H92" s="126"/>
      <c r="I92" s="126"/>
      <c r="J92" s="126"/>
      <c r="K92" s="126"/>
      <c r="L92" s="126"/>
      <c r="M92" s="126"/>
      <c r="N92" s="126"/>
      <c r="O92" s="137"/>
      <c r="P92" s="128"/>
      <c r="Q92" s="128"/>
      <c r="R92" s="128"/>
      <c r="S92" s="137"/>
      <c r="T92" s="128"/>
      <c r="U92" s="137"/>
    </row>
    <row r="93" spans="1:21" x14ac:dyDescent="0.2">
      <c r="A93" s="123"/>
      <c r="B93" s="124"/>
      <c r="C93" s="136"/>
      <c r="D93" s="136"/>
      <c r="E93" s="136"/>
      <c r="F93" s="126"/>
      <c r="G93" s="126"/>
      <c r="H93" s="126"/>
      <c r="I93" s="126"/>
      <c r="J93" s="126"/>
      <c r="K93" s="126"/>
      <c r="L93" s="126"/>
      <c r="M93" s="126"/>
      <c r="N93" s="126"/>
      <c r="O93" s="137"/>
      <c r="P93" s="128"/>
      <c r="Q93" s="128"/>
      <c r="R93" s="128"/>
      <c r="S93" s="137"/>
      <c r="T93" s="128"/>
      <c r="U93" s="137"/>
    </row>
    <row r="94" spans="1:21" x14ac:dyDescent="0.2">
      <c r="A94" s="123"/>
      <c r="B94" s="124"/>
      <c r="C94" s="136"/>
      <c r="D94" s="136"/>
      <c r="E94" s="136"/>
      <c r="F94" s="126"/>
      <c r="G94" s="126"/>
      <c r="H94" s="126"/>
      <c r="I94" s="126"/>
      <c r="J94" s="126"/>
      <c r="K94" s="126"/>
      <c r="L94" s="126"/>
      <c r="M94" s="126"/>
      <c r="N94" s="126"/>
      <c r="O94" s="137">
        <f>SUM(C94:E94)</f>
        <v>0</v>
      </c>
      <c r="P94" s="128"/>
      <c r="Q94" s="128"/>
      <c r="R94" s="128"/>
      <c r="S94" s="137">
        <f>SUM(C94:H94)</f>
        <v>0</v>
      </c>
      <c r="T94" s="128"/>
      <c r="U94" s="137">
        <f>SUM(C94:N94)</f>
        <v>0</v>
      </c>
    </row>
    <row r="95" spans="1:21" x14ac:dyDescent="0.2">
      <c r="A95" s="123"/>
      <c r="B95" s="115" t="s">
        <v>128</v>
      </c>
      <c r="C95" s="130">
        <f>SUM(C84:C94)</f>
        <v>296185</v>
      </c>
      <c r="D95" s="130">
        <f>SUM(D84:D94)</f>
        <v>296185</v>
      </c>
      <c r="E95" s="130">
        <f>SUM(E84:E94)</f>
        <v>288185</v>
      </c>
      <c r="F95" s="130">
        <f>SUM(F84:F94)</f>
        <v>0</v>
      </c>
      <c r="G95" s="130">
        <f>SUM(G84:G94)</f>
        <v>0</v>
      </c>
      <c r="H95" s="130">
        <f>SUM(H84:H94)</f>
        <v>0</v>
      </c>
      <c r="I95" s="130">
        <f>SUM(I84:I94)</f>
        <v>0</v>
      </c>
      <c r="J95" s="130">
        <f>SUM(J84:J94)</f>
        <v>0</v>
      </c>
      <c r="K95" s="130">
        <f>SUM(K84:K94)</f>
        <v>0</v>
      </c>
      <c r="L95" s="130">
        <f>SUM(L84:L94)</f>
        <v>0</v>
      </c>
      <c r="M95" s="130">
        <f>SUM(M84:M94)</f>
        <v>0</v>
      </c>
      <c r="N95" s="130">
        <f>SUM(N84:N94)</f>
        <v>0</v>
      </c>
      <c r="O95" s="130">
        <f>SUM(C95:E95)</f>
        <v>880555</v>
      </c>
      <c r="P95" s="132"/>
      <c r="Q95" s="132"/>
      <c r="R95" s="132"/>
      <c r="S95" s="130">
        <f>SUM(C95:H95)</f>
        <v>880555</v>
      </c>
      <c r="T95" s="132"/>
      <c r="U95" s="130">
        <f>SUM(C95:N95)</f>
        <v>880555</v>
      </c>
    </row>
    <row r="96" spans="1:21" x14ac:dyDescent="0.2">
      <c r="A96" s="123"/>
      <c r="B96" s="115" t="s">
        <v>254</v>
      </c>
      <c r="C96" s="417">
        <f>SUM(C83:C88)</f>
        <v>247785</v>
      </c>
      <c r="D96" s="417">
        <f t="shared" ref="D96:E96" si="22">SUM(D83:D88)</f>
        <v>247785</v>
      </c>
      <c r="E96" s="417">
        <f t="shared" si="22"/>
        <v>239785</v>
      </c>
      <c r="F96" s="130"/>
      <c r="G96" s="130"/>
      <c r="H96" s="130"/>
      <c r="I96" s="130"/>
      <c r="J96" s="130"/>
      <c r="K96" s="130"/>
      <c r="L96" s="130"/>
      <c r="M96" s="130"/>
      <c r="N96" s="130"/>
      <c r="O96" s="130">
        <f t="shared" ref="O96:O97" si="23">SUM(C96:E96)</f>
        <v>735355</v>
      </c>
      <c r="P96" s="132"/>
      <c r="Q96" s="132"/>
      <c r="R96" s="132"/>
      <c r="S96" s="130">
        <f t="shared" ref="S96:S97" si="24">SUM(C96:H96)</f>
        <v>735355</v>
      </c>
      <c r="T96" s="132"/>
      <c r="U96" s="130">
        <f t="shared" ref="U96:U97" si="25">SUM(C96:N96)</f>
        <v>735355</v>
      </c>
    </row>
    <row r="97" spans="1:21" x14ac:dyDescent="0.2">
      <c r="A97" s="123"/>
      <c r="B97" s="115" t="s">
        <v>255</v>
      </c>
      <c r="C97" s="417">
        <f>SUM(C89:C90)</f>
        <v>36400</v>
      </c>
      <c r="D97" s="417">
        <f t="shared" ref="D97:E97" si="26">SUM(D89:D90)</f>
        <v>36400</v>
      </c>
      <c r="E97" s="417">
        <f t="shared" si="26"/>
        <v>36400</v>
      </c>
      <c r="F97" s="130"/>
      <c r="G97" s="130"/>
      <c r="H97" s="130"/>
      <c r="I97" s="130"/>
      <c r="J97" s="130"/>
      <c r="K97" s="130"/>
      <c r="L97" s="130"/>
      <c r="M97" s="130"/>
      <c r="N97" s="130"/>
      <c r="O97" s="130">
        <f t="shared" si="23"/>
        <v>109200</v>
      </c>
      <c r="P97" s="132"/>
      <c r="Q97" s="132"/>
      <c r="R97" s="132"/>
      <c r="S97" s="130">
        <f t="shared" si="24"/>
        <v>109200</v>
      </c>
      <c r="T97" s="132"/>
      <c r="U97" s="130">
        <f t="shared" si="25"/>
        <v>109200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2402-DE10-9E41-B31C-29A67FDBED12}">
  <dimension ref="B3:K10"/>
  <sheetViews>
    <sheetView zoomScale="130" zoomScaleNormal="130" workbookViewId="0">
      <selection activeCell="E26" sqref="E26"/>
    </sheetView>
  </sheetViews>
  <sheetFormatPr baseColWidth="10" defaultRowHeight="16" x14ac:dyDescent="0.2"/>
  <cols>
    <col min="2" max="3" width="12.1640625" bestFit="1" customWidth="1"/>
    <col min="4" max="4" width="13" customWidth="1"/>
    <col min="5" max="6" width="14" customWidth="1"/>
    <col min="7" max="7" width="3" customWidth="1"/>
  </cols>
  <sheetData>
    <row r="3" spans="2:11" x14ac:dyDescent="0.2">
      <c r="B3" t="s">
        <v>257</v>
      </c>
      <c r="H3" t="s">
        <v>235</v>
      </c>
    </row>
    <row r="4" spans="2:11" x14ac:dyDescent="0.2">
      <c r="B4" s="375" t="s">
        <v>236</v>
      </c>
      <c r="C4" s="375"/>
      <c r="D4" s="382" t="s">
        <v>234</v>
      </c>
      <c r="E4" s="375" t="s">
        <v>237</v>
      </c>
      <c r="F4" s="375"/>
      <c r="H4" s="376" t="s">
        <v>233</v>
      </c>
      <c r="I4" s="376"/>
      <c r="J4" s="376" t="s">
        <v>234</v>
      </c>
      <c r="K4" s="376"/>
    </row>
    <row r="5" spans="2:11" x14ac:dyDescent="0.2">
      <c r="B5" s="385">
        <v>0</v>
      </c>
      <c r="C5" s="385">
        <v>7000</v>
      </c>
      <c r="D5" s="383">
        <v>0.1</v>
      </c>
      <c r="E5" s="114">
        <f>B5*16.7</f>
        <v>0</v>
      </c>
      <c r="F5" s="114">
        <v>117000</v>
      </c>
      <c r="H5" s="377">
        <v>0</v>
      </c>
      <c r="I5" s="377">
        <v>10000</v>
      </c>
      <c r="J5" s="378">
        <v>0.1</v>
      </c>
      <c r="K5" s="379"/>
    </row>
    <row r="6" spans="2:11" x14ac:dyDescent="0.2">
      <c r="B6" s="385">
        <v>7001</v>
      </c>
      <c r="C6" s="385">
        <v>15000</v>
      </c>
      <c r="D6" s="383">
        <v>0.15</v>
      </c>
      <c r="E6" s="114">
        <v>117001</v>
      </c>
      <c r="F6" s="114">
        <v>250000</v>
      </c>
      <c r="H6" s="377">
        <v>10001</v>
      </c>
      <c r="I6" s="377">
        <v>20000</v>
      </c>
      <c r="J6" s="378">
        <v>0.15</v>
      </c>
      <c r="K6" s="380"/>
    </row>
    <row r="7" spans="2:11" x14ac:dyDescent="0.2">
      <c r="B7" s="385">
        <v>15001</v>
      </c>
      <c r="C7" s="385">
        <v>25000</v>
      </c>
      <c r="D7" s="384">
        <v>0.22500000000000001</v>
      </c>
      <c r="E7" s="114">
        <v>250001</v>
      </c>
      <c r="F7" s="114">
        <f>C7*16.7</f>
        <v>417500</v>
      </c>
      <c r="H7" s="377">
        <v>20001</v>
      </c>
      <c r="I7" s="377">
        <v>35000</v>
      </c>
      <c r="J7" s="381">
        <v>0.22500000000000001</v>
      </c>
      <c r="K7" s="380"/>
    </row>
    <row r="8" spans="2:11" x14ac:dyDescent="0.2">
      <c r="B8" s="385">
        <v>25001</v>
      </c>
      <c r="C8" s="385">
        <v>50000</v>
      </c>
      <c r="D8" s="383">
        <v>0.25</v>
      </c>
      <c r="E8" s="114">
        <v>417501</v>
      </c>
      <c r="F8" s="114">
        <f>C8*16.7</f>
        <v>835000</v>
      </c>
      <c r="H8" s="377">
        <v>35001</v>
      </c>
      <c r="I8" s="377">
        <v>55000</v>
      </c>
      <c r="J8" s="378">
        <v>0.25</v>
      </c>
      <c r="K8" s="380"/>
    </row>
    <row r="9" spans="2:11" x14ac:dyDescent="0.2">
      <c r="B9" s="385">
        <v>50001</v>
      </c>
      <c r="C9" s="385">
        <v>999999</v>
      </c>
      <c r="D9" s="383">
        <v>0.3</v>
      </c>
      <c r="E9" s="114">
        <v>835001</v>
      </c>
      <c r="F9" s="114">
        <v>999999</v>
      </c>
      <c r="H9" s="377">
        <v>55001</v>
      </c>
      <c r="I9" s="377">
        <v>999999</v>
      </c>
      <c r="J9" s="378">
        <v>0.3</v>
      </c>
      <c r="K9" s="380"/>
    </row>
    <row r="10" spans="2:11" x14ac:dyDescent="0.2">
      <c r="B10" s="418" t="s">
        <v>208</v>
      </c>
      <c r="C10" s="418"/>
      <c r="D10" s="383" t="s">
        <v>256</v>
      </c>
      <c r="E10" s="418" t="s">
        <v>208</v>
      </c>
      <c r="F10" s="418"/>
    </row>
  </sheetData>
  <mergeCells count="4">
    <mergeCell ref="B4:C4"/>
    <mergeCell ref="E4:F4"/>
    <mergeCell ref="B10:C10"/>
    <mergeCell ref="E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Consultant NFI League</vt:lpstr>
      <vt:lpstr>Consultant NBV League</vt:lpstr>
      <vt:lpstr>Perm NFI data</vt:lpstr>
      <vt:lpstr>S4 Cloud Contractor Data</vt:lpstr>
      <vt:lpstr>Contract Commission Bands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Forbes</dc:creator>
  <cp:lastModifiedBy>Ryan Forbes</cp:lastModifiedBy>
  <dcterms:created xsi:type="dcterms:W3CDTF">2026-03-09T07:04:24Z</dcterms:created>
  <dcterms:modified xsi:type="dcterms:W3CDTF">2026-03-17T14:08:54Z</dcterms:modified>
</cp:coreProperties>
</file>